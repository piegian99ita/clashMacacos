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clashMacacos\"/>
    </mc:Choice>
  </mc:AlternateContent>
  <xr:revisionPtr revIDLastSave="0" documentId="8_{AAFE10CE-303A-4B9D-BBD0-594939901D34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clan games" sheetId="1" r:id="rId1"/>
    <sheet name="CLAN CAPITAL" sheetId="2" r:id="rId2"/>
    <sheet name="eventi" sheetId="3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2" l="1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D51" i="1"/>
  <c r="C51" i="1"/>
  <c r="D50" i="1"/>
  <c r="C50" i="1"/>
  <c r="D49" i="1"/>
  <c r="C49" i="1"/>
  <c r="D48" i="1"/>
  <c r="C48" i="1"/>
  <c r="D47" i="1"/>
  <c r="C47" i="1"/>
  <c r="D46" i="1"/>
  <c r="C46" i="1"/>
  <c r="D45" i="1"/>
  <c r="C45" i="1"/>
  <c r="D44" i="1"/>
  <c r="C44" i="1"/>
  <c r="D43" i="1"/>
  <c r="C43" i="1"/>
  <c r="D42" i="1"/>
  <c r="C42" i="1"/>
  <c r="D41" i="1"/>
  <c r="C41" i="1"/>
  <c r="D40" i="1"/>
  <c r="C40" i="1"/>
  <c r="D39" i="1"/>
  <c r="C39" i="1"/>
  <c r="D38" i="1"/>
  <c r="C38" i="1"/>
  <c r="D37" i="1"/>
  <c r="C37" i="1"/>
  <c r="D36" i="1"/>
  <c r="C36" i="1"/>
  <c r="D35" i="1"/>
  <c r="C35" i="1"/>
  <c r="D34" i="1"/>
  <c r="C34" i="1"/>
  <c r="D33" i="1"/>
  <c r="C33" i="1"/>
  <c r="D32" i="1"/>
  <c r="C32" i="1"/>
  <c r="D31" i="1"/>
  <c r="C31" i="1"/>
  <c r="D30" i="1"/>
  <c r="C30" i="1"/>
  <c r="D29" i="1"/>
  <c r="C29" i="1"/>
  <c r="D28" i="1"/>
  <c r="C28" i="1"/>
  <c r="D27" i="1"/>
  <c r="C27" i="1"/>
  <c r="D26" i="1"/>
  <c r="C26" i="1"/>
  <c r="D25" i="1"/>
  <c r="C25" i="1"/>
  <c r="D24" i="1"/>
  <c r="C24" i="1"/>
  <c r="D23" i="1"/>
  <c r="C23" i="1"/>
  <c r="D22" i="1"/>
  <c r="C22" i="1"/>
  <c r="D21" i="1"/>
  <c r="C21" i="1"/>
  <c r="D20" i="1"/>
  <c r="C20" i="1"/>
  <c r="D19" i="1"/>
  <c r="C19" i="1"/>
  <c r="D18" i="1"/>
  <c r="C18" i="1"/>
  <c r="D17" i="1"/>
  <c r="C17" i="1"/>
  <c r="D16" i="1"/>
  <c r="C16" i="1"/>
  <c r="D15" i="1"/>
  <c r="C15" i="1"/>
  <c r="D14" i="1"/>
  <c r="C14" i="1"/>
  <c r="D13" i="1"/>
  <c r="C13" i="1"/>
  <c r="D12" i="1"/>
  <c r="C12" i="1"/>
  <c r="D11" i="1"/>
  <c r="C11" i="1"/>
  <c r="D10" i="1"/>
  <c r="C10" i="1"/>
  <c r="D9" i="1"/>
  <c r="C9" i="1"/>
  <c r="D8" i="1"/>
  <c r="C8" i="1"/>
  <c r="D7" i="1"/>
  <c r="C7" i="1"/>
  <c r="D6" i="1"/>
  <c r="C6" i="1"/>
  <c r="D5" i="1"/>
  <c r="C5" i="1"/>
  <c r="D4" i="1"/>
  <c r="C4" i="1"/>
  <c r="D3" i="1"/>
  <c r="C3" i="1"/>
  <c r="D2" i="1"/>
  <c r="C2" i="1"/>
</calcChain>
</file>

<file path=xl/sharedStrings.xml><?xml version="1.0" encoding="utf-8"?>
<sst xmlns="http://schemas.openxmlformats.org/spreadsheetml/2006/main" count="283" uniqueCount="114">
  <si>
    <t>NOME</t>
  </si>
  <si>
    <t>DATA</t>
  </si>
  <si>
    <t>MEDIA</t>
  </si>
  <si>
    <t>TOTALE</t>
  </si>
  <si>
    <t>ACHIEVMENT</t>
  </si>
  <si>
    <t>22/10/2025</t>
  </si>
  <si>
    <t>22/11/2025</t>
  </si>
  <si>
    <t>22/12/2025</t>
  </si>
  <si>
    <t>22/01/2026</t>
  </si>
  <si>
    <t>22/02/2026</t>
  </si>
  <si>
    <t>22/03/2026</t>
  </si>
  <si>
    <t>22/04/2024</t>
  </si>
  <si>
    <t>22/05/2026</t>
  </si>
  <si>
    <t>22/06/2026</t>
  </si>
  <si>
    <t>22/07/2026</t>
  </si>
  <si>
    <t>Colonna10</t>
  </si>
  <si>
    <t>Colonna11</t>
  </si>
  <si>
    <t>Colonna12</t>
  </si>
  <si>
    <t>Colonna13</t>
  </si>
  <si>
    <t>Colonna14</t>
  </si>
  <si>
    <t>Colonna15</t>
  </si>
  <si>
    <t>Colonna16</t>
  </si>
  <si>
    <t>Colonna17</t>
  </si>
  <si>
    <t>Colonna18</t>
  </si>
  <si>
    <t>Colonna19</t>
  </si>
  <si>
    <t>Colonna20</t>
  </si>
  <si>
    <t>Colonna21</t>
  </si>
  <si>
    <t>Chabby</t>
  </si>
  <si>
    <t>15/12/2025</t>
  </si>
  <si>
    <t>BigMc23</t>
  </si>
  <si>
    <t>EdoDodo</t>
  </si>
  <si>
    <t>CARFI</t>
  </si>
  <si>
    <t>Rosario</t>
  </si>
  <si>
    <t>LELE11GAM3R</t>
  </si>
  <si>
    <t>Valh</t>
  </si>
  <si>
    <t>marcojk007</t>
  </si>
  <si>
    <t>shark</t>
  </si>
  <si>
    <t>19/12/2025</t>
  </si>
  <si>
    <t>king</t>
  </si>
  <si>
    <t>gh</t>
  </si>
  <si>
    <t>Matty7_</t>
  </si>
  <si>
    <t>Alaa</t>
  </si>
  <si>
    <t>Sub.WayGud</t>
  </si>
  <si>
    <t>P.E.K.K.A</t>
  </si>
  <si>
    <t>23/12/2025</t>
  </si>
  <si>
    <t>Giorgio</t>
  </si>
  <si>
    <t>26/12/2025</t>
  </si>
  <si>
    <t>lord pucci</t>
  </si>
  <si>
    <t>Luxor</t>
  </si>
  <si>
    <t>luigi01</t>
  </si>
  <si>
    <t>Cleopatra</t>
  </si>
  <si>
    <t>D 011</t>
  </si>
  <si>
    <t>dux104</t>
  </si>
  <si>
    <t>sidcu js</t>
  </si>
  <si>
    <t>zombra</t>
  </si>
  <si>
    <t>dado</t>
  </si>
  <si>
    <t>ER DANDI 1927</t>
  </si>
  <si>
    <t>giosan</t>
  </si>
  <si>
    <t>sono io lakaka</t>
  </si>
  <si>
    <t>RobbyCV</t>
  </si>
  <si>
    <t>ajejebrazorf</t>
  </si>
  <si>
    <t>SubOhm</t>
  </si>
  <si>
    <t>xbladze</t>
  </si>
  <si>
    <t>Stentaaa</t>
  </si>
  <si>
    <t>GiornoBrando</t>
  </si>
  <si>
    <t>21/12/2025</t>
  </si>
  <si>
    <t>buff x-bow</t>
  </si>
  <si>
    <t>Roberta</t>
  </si>
  <si>
    <t>gionny</t>
  </si>
  <si>
    <t>th4nos</t>
  </si>
  <si>
    <t>maikol_lix</t>
  </si>
  <si>
    <t>R1cky_boffo</t>
  </si>
  <si>
    <t>Brazo</t>
  </si>
  <si>
    <t>Simone</t>
  </si>
  <si>
    <t>serra008</t>
  </si>
  <si>
    <t>haha</t>
  </si>
  <si>
    <t>Floky23</t>
  </si>
  <si>
    <t>leo</t>
  </si>
  <si>
    <t>HikariNoRob</t>
  </si>
  <si>
    <t>Luigi</t>
  </si>
  <si>
    <t>pigiamone99</t>
  </si>
  <si>
    <t>piegian99</t>
  </si>
  <si>
    <t>23/11/2025</t>
  </si>
  <si>
    <t>30/11/2025</t>
  </si>
  <si>
    <t>07/12/2025</t>
  </si>
  <si>
    <t>14/12/2025</t>
  </si>
  <si>
    <t>Colonna5</t>
  </si>
  <si>
    <t>Colonna6</t>
  </si>
  <si>
    <t>Colonna7</t>
  </si>
  <si>
    <t>Colonna8</t>
  </si>
  <si>
    <t>Colonna9</t>
  </si>
  <si>
    <t>Colonna22</t>
  </si>
  <si>
    <t>Colonna23</t>
  </si>
  <si>
    <t>Colonna24</t>
  </si>
  <si>
    <t>Colonna25</t>
  </si>
  <si>
    <t>Colonna26</t>
  </si>
  <si>
    <t>Colonna27</t>
  </si>
  <si>
    <t>Colonna28</t>
  </si>
  <si>
    <t>Colonna29</t>
  </si>
  <si>
    <t>Colonna30</t>
  </si>
  <si>
    <t>Colonna31</t>
  </si>
  <si>
    <t>Colonna32</t>
  </si>
  <si>
    <t>27/12/2025</t>
  </si>
  <si>
    <t>melamarcia32</t>
  </si>
  <si>
    <t>NOMEE</t>
  </si>
  <si>
    <t>ASCIA</t>
  </si>
  <si>
    <t>Colonna2</t>
  </si>
  <si>
    <t>Colonna3</t>
  </si>
  <si>
    <t>Colonna4</t>
  </si>
  <si>
    <t>⚡️ZAC⚡️</t>
  </si>
  <si>
    <t>hh</t>
  </si>
  <si>
    <t>kakko garau</t>
  </si>
  <si>
    <t>TRAITO TNT</t>
  </si>
  <si>
    <t>tustrunz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</si>
</sst>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7" xfId="0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49" fontId="0" fillId="0" borderId="0" xfId="0" applyNumberFormat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7" xfId="0" applyFill="1" applyBorder="1" applyAlignment="1">
      <alignment horizontal="center" vertical="center"/>
    </xf>
  </cellXfs>
  <cellStyles count="1">
    <cellStyle name="Normale" xfId="0" builtinId="0"/>
  </cellStyles>
  <dxfs count="69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a2" displayName="Tabella2" ref="A1:AA51" totalsRowShown="0" headerRowDxfId="68" dataDxfId="67" tableBorderDxfId="66">
  <autoFilter ref="A1:AA51" xr:uid="{00000000-0009-0000-0100-000001000000}"/>
  <sortState xmlns:xlrd2="http://schemas.microsoft.com/office/spreadsheetml/2017/richdata2" ref="A2:AA51">
    <sortCondition ref="H1:H51"/>
  </sortState>
  <tableColumns count="27">
    <tableColumn id="1" xr3:uid="{00000000-0010-0000-0000-000001000000}" name="NOME" dataDxfId="65"/>
    <tableColumn id="2" xr3:uid="{00000000-0010-0000-0000-000002000000}" name="DATA" dataDxfId="64"/>
    <tableColumn id="3" xr3:uid="{00000000-0010-0000-0000-000003000000}" name="MEDIA" dataDxfId="63"/>
    <tableColumn id="4" xr3:uid="{00000000-0010-0000-0000-000004000000}" name="TOTALE" dataDxfId="62"/>
    <tableColumn id="5" xr3:uid="{00000000-0010-0000-0000-000005000000}" name="ACHIEVMENT" dataDxfId="61"/>
    <tableColumn id="27" xr3:uid="{00000000-0010-0000-0000-00001B000000}" name="22/10/2025" dataDxfId="60"/>
    <tableColumn id="6" xr3:uid="{00000000-0010-0000-0000-000006000000}" name="22/11/2025" dataDxfId="59"/>
    <tableColumn id="7" xr3:uid="{00000000-0010-0000-0000-000007000000}" name="22/12/2025" dataDxfId="58"/>
    <tableColumn id="8" xr3:uid="{00000000-0010-0000-0000-000008000000}" name="22/01/2026" dataDxfId="57"/>
    <tableColumn id="9" xr3:uid="{00000000-0010-0000-0000-000009000000}" name="22/02/2026" dataDxfId="56"/>
    <tableColumn id="10" xr3:uid="{00000000-0010-0000-0000-00000A000000}" name="22/03/2026" dataDxfId="55"/>
    <tableColumn id="11" xr3:uid="{00000000-0010-0000-0000-00000B000000}" name="22/04/2024" dataDxfId="54"/>
    <tableColumn id="12" xr3:uid="{00000000-0010-0000-0000-00000C000000}" name="22/05/2026" dataDxfId="53"/>
    <tableColumn id="13" xr3:uid="{00000000-0010-0000-0000-00000D000000}" name="22/06/2026" dataDxfId="52"/>
    <tableColumn id="14" xr3:uid="{00000000-0010-0000-0000-00000E000000}" name="22/07/2026" dataDxfId="51"/>
    <tableColumn id="15" xr3:uid="{00000000-0010-0000-0000-00000F000000}" name="Colonna10" dataDxfId="50"/>
    <tableColumn id="16" xr3:uid="{00000000-0010-0000-0000-000010000000}" name="Colonna11" dataDxfId="49"/>
    <tableColumn id="17" xr3:uid="{00000000-0010-0000-0000-000011000000}" name="Colonna12" dataDxfId="48"/>
    <tableColumn id="18" xr3:uid="{00000000-0010-0000-0000-000012000000}" name="Colonna13" dataDxfId="47"/>
    <tableColumn id="19" xr3:uid="{00000000-0010-0000-0000-000013000000}" name="Colonna14" dataDxfId="46"/>
    <tableColumn id="20" xr3:uid="{00000000-0010-0000-0000-000014000000}" name="Colonna15" dataDxfId="45"/>
    <tableColumn id="21" xr3:uid="{00000000-0010-0000-0000-000015000000}" name="Colonna16" dataDxfId="44"/>
    <tableColumn id="22" xr3:uid="{00000000-0010-0000-0000-000016000000}" name="Colonna17" dataDxfId="43"/>
    <tableColumn id="23" xr3:uid="{00000000-0010-0000-0000-000017000000}" name="Colonna18" dataDxfId="42"/>
    <tableColumn id="24" xr3:uid="{00000000-0010-0000-0000-000018000000}" name="Colonna19" dataDxfId="41"/>
    <tableColumn id="25" xr3:uid="{00000000-0010-0000-0000-000019000000}" name="Colonna20" dataDxfId="40"/>
    <tableColumn id="26" xr3:uid="{00000000-0010-0000-0000-00001A000000}" name="Colonna21" dataDxfId="39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la1" displayName="Tabella1" ref="A1:AJ51" totalsRowShown="0" headerRowDxfId="38" dataDxfId="37">
  <autoFilter ref="A1:AJ51" xr:uid="{00000000-0009-0000-0100-000002000000}"/>
  <sortState xmlns:xlrd2="http://schemas.microsoft.com/office/spreadsheetml/2017/richdata2" ref="A2:AJ51">
    <sortCondition ref="H2:H51"/>
  </sortState>
  <tableColumns count="36">
    <tableColumn id="1" xr3:uid="{00000000-0010-0000-0100-000001000000}" name="NOME" dataDxfId="36"/>
    <tableColumn id="2" xr3:uid="{00000000-0010-0000-0100-000002000000}" name="DATA" dataDxfId="35"/>
    <tableColumn id="3" xr3:uid="{00000000-0010-0000-0100-000003000000}" name="MEDIA" dataDxfId="34"/>
    <tableColumn id="4" xr3:uid="{00000000-0010-0000-0100-000004000000}" name="23/11/2025" dataDxfId="33"/>
    <tableColumn id="5" xr3:uid="{00000000-0010-0000-0100-000005000000}" name="30/11/2025" dataDxfId="32"/>
    <tableColumn id="6" xr3:uid="{00000000-0010-0000-0100-000006000000}" name="07/12/2025" dataDxfId="31"/>
    <tableColumn id="7" xr3:uid="{00000000-0010-0000-0100-000007000000}" name="14/12/2025" dataDxfId="30"/>
    <tableColumn id="8" xr3:uid="{00000000-0010-0000-0100-000008000000}" name="19/12/2025" dataDxfId="29"/>
    <tableColumn id="10" xr3:uid="{00000000-0010-0000-0100-00000A000000}" name="Colonna5" dataDxfId="28"/>
    <tableColumn id="11" xr3:uid="{00000000-0010-0000-0100-00000B000000}" name="Colonna6" dataDxfId="27"/>
    <tableColumn id="12" xr3:uid="{00000000-0010-0000-0100-00000C000000}" name="Colonna7" dataDxfId="26"/>
    <tableColumn id="13" xr3:uid="{00000000-0010-0000-0100-00000D000000}" name="Colonna8" dataDxfId="25"/>
    <tableColumn id="14" xr3:uid="{00000000-0010-0000-0100-00000E000000}" name="Colonna9" dataDxfId="24"/>
    <tableColumn id="15" xr3:uid="{00000000-0010-0000-0100-00000F000000}" name="Colonna10" dataDxfId="23"/>
    <tableColumn id="16" xr3:uid="{00000000-0010-0000-0100-000010000000}" name="Colonna11" dataDxfId="22"/>
    <tableColumn id="17" xr3:uid="{00000000-0010-0000-0100-000011000000}" name="Colonna12" dataDxfId="21"/>
    <tableColumn id="18" xr3:uid="{00000000-0010-0000-0100-000012000000}" name="Colonna13" dataDxfId="20"/>
    <tableColumn id="19" xr3:uid="{00000000-0010-0000-0100-000013000000}" name="Colonna14" dataDxfId="19"/>
    <tableColumn id="20" xr3:uid="{00000000-0010-0000-0100-000014000000}" name="Colonna15" dataDxfId="18"/>
    <tableColumn id="21" xr3:uid="{00000000-0010-0000-0100-000015000000}" name="Colonna16" dataDxfId="17"/>
    <tableColumn id="22" xr3:uid="{00000000-0010-0000-0100-000016000000}" name="Colonna17" dataDxfId="16"/>
    <tableColumn id="23" xr3:uid="{00000000-0010-0000-0100-000017000000}" name="Colonna18" dataDxfId="15"/>
    <tableColumn id="24" xr3:uid="{00000000-0010-0000-0100-000018000000}" name="Colonna19" dataDxfId="14"/>
    <tableColumn id="25" xr3:uid="{00000000-0010-0000-0100-000019000000}" name="Colonna20" dataDxfId="13"/>
    <tableColumn id="26" xr3:uid="{00000000-0010-0000-0100-00001A000000}" name="Colonna21" dataDxfId="12"/>
    <tableColumn id="27" xr3:uid="{00000000-0010-0000-0100-00001B000000}" name="Colonna22" dataDxfId="11"/>
    <tableColumn id="28" xr3:uid="{00000000-0010-0000-0100-00001C000000}" name="Colonna23" dataDxfId="10"/>
    <tableColumn id="29" xr3:uid="{00000000-0010-0000-0100-00001D000000}" name="Colonna24" dataDxfId="9"/>
    <tableColumn id="30" xr3:uid="{00000000-0010-0000-0100-00001E000000}" name="Colonna25" dataDxfId="8"/>
    <tableColumn id="31" xr3:uid="{00000000-0010-0000-0100-00001F000000}" name="Colonna26" dataDxfId="7"/>
    <tableColumn id="32" xr3:uid="{00000000-0010-0000-0100-000020000000}" name="Colonna27" dataDxfId="6"/>
    <tableColumn id="33" xr3:uid="{00000000-0010-0000-0100-000021000000}" name="Colonna28" dataDxfId="5"/>
    <tableColumn id="34" xr3:uid="{00000000-0010-0000-0100-000022000000}" name="Colonna29" dataDxfId="4"/>
    <tableColumn id="35" xr3:uid="{00000000-0010-0000-0100-000023000000}" name="Colonna30" dataDxfId="3"/>
    <tableColumn id="36" xr3:uid="{00000000-0010-0000-0100-000024000000}" name="Colonna31" dataDxfId="2"/>
    <tableColumn id="37" xr3:uid="{00000000-0010-0000-0100-000025000000}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la3" displayName="Tabella3" ref="A1:S51" totalsRowShown="0">
  <autoFilter ref="A1:S51" xr:uid="{00000000-0009-0000-0100-000003000000}"/>
  <sortState xmlns:xlrd2="http://schemas.microsoft.com/office/spreadsheetml/2017/richdata2" ref="A2:S51">
    <sortCondition ref="A1:A51"/>
  </sortState>
  <tableColumns count="19">
    <tableColumn id="1" xr3:uid="{00000000-0010-0000-0200-000001000000}" name="NOMEE" dataDxfId="0"/>
    <tableColumn id="2" xr3:uid="{00000000-0010-0000-0200-000002000000}" name="ASCIA"/>
    <tableColumn id="3" xr3:uid="{00000000-0010-0000-0200-000003000000}" name="Colonna2"/>
    <tableColumn id="4" xr3:uid="{00000000-0010-0000-0200-000004000000}" name="Colonna3"/>
    <tableColumn id="5" xr3:uid="{00000000-0010-0000-0200-000005000000}" name="Colonna4"/>
    <tableColumn id="6" xr3:uid="{00000000-0010-0000-0200-000006000000}" name="Colonna5"/>
    <tableColumn id="7" xr3:uid="{00000000-0010-0000-0200-000007000000}" name="Colonna6"/>
    <tableColumn id="8" xr3:uid="{00000000-0010-0000-0200-000008000000}" name="Colonna7"/>
    <tableColumn id="9" xr3:uid="{00000000-0010-0000-0200-000009000000}" name="Colonna8"/>
    <tableColumn id="10" xr3:uid="{00000000-0010-0000-0200-00000A000000}" name="Colonna9"/>
    <tableColumn id="11" xr3:uid="{00000000-0010-0000-0200-00000B000000}" name="Colonna10"/>
    <tableColumn id="12" xr3:uid="{00000000-0010-0000-0200-00000C000000}" name="Colonna11"/>
    <tableColumn id="13" xr3:uid="{00000000-0010-0000-0200-00000D000000}" name="Colonna12"/>
    <tableColumn id="14" xr3:uid="{00000000-0010-0000-0200-00000E000000}" name="Colonna13"/>
    <tableColumn id="15" xr3:uid="{00000000-0010-0000-0200-00000F000000}" name="Colonna14"/>
    <tableColumn id="16" xr3:uid="{00000000-0010-0000-0200-000010000000}" name="Colonna15"/>
    <tableColumn id="17" xr3:uid="{00000000-0010-0000-0200-000011000000}" name="Colonna16"/>
    <tableColumn id="18" xr3:uid="{00000000-0010-0000-0200-000012000000}" name="Colonna17"/>
    <tableColumn id="19" xr3:uid="{00000000-0010-0000-0200-000013000000}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51"/>
  <sheetViews>
    <sheetView workbookViewId="0">
      <selection activeCell="N12" sqref="N12"/>
    </sheetView>
  </sheetViews>
  <sheetFormatPr defaultRowHeight="15" x14ac:dyDescent="0.25"/>
  <cols>
    <col min="1" max="1" width="14.28515625" customWidth="1"/>
    <col min="2" max="2" width="16.28515625" customWidth="1"/>
    <col min="3" max="3" width="13" customWidth="1"/>
    <col min="4" max="4" width="9.85546875" customWidth="1"/>
    <col min="5" max="6" width="13.140625" customWidth="1"/>
    <col min="7" max="7" width="8.7109375" customWidth="1"/>
    <col min="8" max="8" width="9.42578125" customWidth="1"/>
    <col min="9" max="9" width="13.85546875" customWidth="1"/>
    <col min="10" max="10" width="14.28515625" customWidth="1"/>
    <col min="11" max="15" width="11.7109375" customWidth="1"/>
    <col min="16" max="23" width="12.7109375" customWidth="1"/>
    <col min="24" max="27" width="12.5703125" customWidth="1"/>
  </cols>
  <sheetData>
    <row r="1" spans="1:27" ht="15.75" customHeight="1" thickBot="1" x14ac:dyDescent="0.3">
      <c r="A1" s="4" t="s">
        <v>0</v>
      </c>
      <c r="B1" s="15" t="s">
        <v>1</v>
      </c>
      <c r="C1" s="17" t="s">
        <v>2</v>
      </c>
      <c r="D1" s="4" t="s">
        <v>3</v>
      </c>
      <c r="E1" s="18" t="s">
        <v>4</v>
      </c>
      <c r="F1" s="15" t="s">
        <v>5</v>
      </c>
      <c r="G1" s="14" t="s">
        <v>6</v>
      </c>
      <c r="H1" s="15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15" t="s">
        <v>15</v>
      </c>
      <c r="Q1" s="15" t="s">
        <v>16</v>
      </c>
      <c r="R1" s="15" t="s">
        <v>17</v>
      </c>
      <c r="S1" s="15" t="s">
        <v>18</v>
      </c>
      <c r="T1" s="15" t="s">
        <v>19</v>
      </c>
      <c r="U1" s="15" t="s">
        <v>20</v>
      </c>
      <c r="V1" s="15" t="s">
        <v>21</v>
      </c>
      <c r="W1" s="15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27" x14ac:dyDescent="0.25">
      <c r="A2" s="3" t="s">
        <v>27</v>
      </c>
      <c r="B2" s="16" t="s">
        <v>28</v>
      </c>
      <c r="C2" s="2">
        <f t="shared" ref="C2:C33" si="0">ROUND(AVERAGE(F2:AB2), 0)</f>
        <v>0</v>
      </c>
      <c r="D2" s="3">
        <f t="shared" ref="D2:D33" si="1">SUM(F2:AB2)</f>
        <v>0</v>
      </c>
      <c r="E2" s="5">
        <v>12250</v>
      </c>
      <c r="F2" s="1"/>
      <c r="G2" s="1">
        <v>0</v>
      </c>
      <c r="H2" s="1">
        <v>0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7" x14ac:dyDescent="0.25">
      <c r="A3" s="3" t="s">
        <v>29</v>
      </c>
      <c r="B3" s="16" t="s">
        <v>28</v>
      </c>
      <c r="C3" s="2">
        <f t="shared" si="0"/>
        <v>0</v>
      </c>
      <c r="D3" s="3">
        <f t="shared" si="1"/>
        <v>0</v>
      </c>
      <c r="E3" s="5">
        <v>12850</v>
      </c>
      <c r="F3" s="1"/>
      <c r="G3" s="1"/>
      <c r="H3" s="1">
        <v>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spans="1:27" x14ac:dyDescent="0.25">
      <c r="A4" s="3" t="s">
        <v>30</v>
      </c>
      <c r="B4" s="16" t="s">
        <v>28</v>
      </c>
      <c r="C4" s="2">
        <f t="shared" si="0"/>
        <v>0</v>
      </c>
      <c r="D4" s="3">
        <f t="shared" si="1"/>
        <v>0</v>
      </c>
      <c r="E4" s="5">
        <v>21800</v>
      </c>
      <c r="F4" s="1"/>
      <c r="G4" s="1"/>
      <c r="H4" s="1">
        <v>0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spans="1:27" x14ac:dyDescent="0.25">
      <c r="A5" s="19" t="s">
        <v>31</v>
      </c>
      <c r="B5" s="16" t="s">
        <v>28</v>
      </c>
      <c r="C5" s="2">
        <f t="shared" si="0"/>
        <v>0</v>
      </c>
      <c r="D5" s="3">
        <f t="shared" si="1"/>
        <v>0</v>
      </c>
      <c r="E5" s="5">
        <v>8100</v>
      </c>
      <c r="F5" s="1"/>
      <c r="G5" s="1"/>
      <c r="H5" s="1">
        <v>0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7" x14ac:dyDescent="0.25">
      <c r="A6" s="3" t="s">
        <v>32</v>
      </c>
      <c r="B6" s="16" t="s">
        <v>28</v>
      </c>
      <c r="C6" s="2">
        <f t="shared" si="0"/>
        <v>0</v>
      </c>
      <c r="D6" s="3">
        <f t="shared" si="1"/>
        <v>0</v>
      </c>
      <c r="E6" s="5">
        <v>1950</v>
      </c>
      <c r="F6" s="1"/>
      <c r="G6" s="1"/>
      <c r="H6" s="1">
        <v>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7" x14ac:dyDescent="0.25">
      <c r="A7" s="3" t="s">
        <v>33</v>
      </c>
      <c r="B7" s="16" t="s">
        <v>28</v>
      </c>
      <c r="C7" s="2">
        <f t="shared" si="0"/>
        <v>0</v>
      </c>
      <c r="D7" s="3">
        <f t="shared" si="1"/>
        <v>0</v>
      </c>
      <c r="E7" s="5">
        <v>10750</v>
      </c>
      <c r="F7" s="1"/>
      <c r="G7" s="1"/>
      <c r="H7" s="1">
        <v>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7" x14ac:dyDescent="0.25">
      <c r="A8" s="3" t="s">
        <v>34</v>
      </c>
      <c r="B8" s="16" t="s">
        <v>28</v>
      </c>
      <c r="C8" s="2">
        <f t="shared" si="0"/>
        <v>0</v>
      </c>
      <c r="D8" s="3">
        <f t="shared" si="1"/>
        <v>0</v>
      </c>
      <c r="E8" s="5">
        <v>24900</v>
      </c>
      <c r="F8" s="1"/>
      <c r="G8" s="1"/>
      <c r="H8" s="1">
        <v>0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spans="1:27" x14ac:dyDescent="0.25">
      <c r="A9" s="3" t="s">
        <v>35</v>
      </c>
      <c r="B9" s="16" t="s">
        <v>28</v>
      </c>
      <c r="C9" s="2">
        <f t="shared" si="0"/>
        <v>0</v>
      </c>
      <c r="D9" s="3">
        <f t="shared" si="1"/>
        <v>0</v>
      </c>
      <c r="E9" s="5">
        <v>70660</v>
      </c>
      <c r="F9" s="1"/>
      <c r="G9" s="1"/>
      <c r="H9" s="1">
        <v>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7" x14ac:dyDescent="0.25">
      <c r="A10" s="3" t="s">
        <v>36</v>
      </c>
      <c r="B10" s="16" t="s">
        <v>37</v>
      </c>
      <c r="C10" s="2">
        <f t="shared" si="0"/>
        <v>0</v>
      </c>
      <c r="D10" s="3">
        <f t="shared" si="1"/>
        <v>0</v>
      </c>
      <c r="E10" s="5">
        <v>505</v>
      </c>
      <c r="F10" s="1"/>
      <c r="G10" s="1"/>
      <c r="H10" s="1">
        <v>0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pans="1:27" x14ac:dyDescent="0.25">
      <c r="A11" s="19" t="s">
        <v>38</v>
      </c>
      <c r="B11" s="16" t="s">
        <v>37</v>
      </c>
      <c r="C11" s="2">
        <f t="shared" si="0"/>
        <v>0</v>
      </c>
      <c r="D11" s="3">
        <f t="shared" si="1"/>
        <v>0</v>
      </c>
      <c r="E11" s="5">
        <v>39890</v>
      </c>
      <c r="F11" s="1"/>
      <c r="G11" s="1"/>
      <c r="H11" s="1">
        <v>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pans="1:27" x14ac:dyDescent="0.25">
      <c r="A12" s="3" t="s">
        <v>39</v>
      </c>
      <c r="B12" s="16" t="s">
        <v>37</v>
      </c>
      <c r="C12" s="2">
        <f t="shared" si="0"/>
        <v>0</v>
      </c>
      <c r="D12" s="3">
        <f t="shared" si="1"/>
        <v>0</v>
      </c>
      <c r="E12" s="5">
        <v>7100</v>
      </c>
      <c r="F12" s="1"/>
      <c r="G12" s="1"/>
      <c r="H12" s="1">
        <v>0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pans="1:27" x14ac:dyDescent="0.25">
      <c r="A13" s="3" t="s">
        <v>40</v>
      </c>
      <c r="B13" s="16" t="s">
        <v>37</v>
      </c>
      <c r="C13" s="2">
        <f t="shared" si="0"/>
        <v>0</v>
      </c>
      <c r="D13" s="3">
        <f t="shared" si="1"/>
        <v>0</v>
      </c>
      <c r="E13" s="5">
        <v>34720</v>
      </c>
      <c r="F13" s="1"/>
      <c r="G13" s="1"/>
      <c r="H13" s="1">
        <v>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7" x14ac:dyDescent="0.25">
      <c r="A14" s="3" t="s">
        <v>41</v>
      </c>
      <c r="B14" s="16" t="s">
        <v>37</v>
      </c>
      <c r="C14" s="2">
        <f t="shared" si="0"/>
        <v>0</v>
      </c>
      <c r="D14" s="3">
        <f t="shared" si="1"/>
        <v>0</v>
      </c>
      <c r="E14" s="5">
        <v>25100</v>
      </c>
      <c r="F14" s="1"/>
      <c r="G14" s="1"/>
      <c r="H14" s="1">
        <v>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7" x14ac:dyDescent="0.25">
      <c r="A15" s="19" t="s">
        <v>42</v>
      </c>
      <c r="B15" s="16" t="s">
        <v>7</v>
      </c>
      <c r="C15" s="2">
        <f t="shared" si="0"/>
        <v>0</v>
      </c>
      <c r="D15" s="3">
        <f t="shared" si="1"/>
        <v>0</v>
      </c>
      <c r="E15" s="5">
        <v>54400</v>
      </c>
      <c r="F15" s="1"/>
      <c r="G15" s="1"/>
      <c r="H15" s="1">
        <v>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pans="1:27" x14ac:dyDescent="0.25">
      <c r="A16" s="19" t="s">
        <v>43</v>
      </c>
      <c r="B16" s="16" t="s">
        <v>44</v>
      </c>
      <c r="C16" s="2">
        <f t="shared" si="0"/>
        <v>0</v>
      </c>
      <c r="D16" s="3">
        <f t="shared" si="1"/>
        <v>0</v>
      </c>
      <c r="E16" s="5">
        <v>101295</v>
      </c>
      <c r="F16" s="1"/>
      <c r="G16" s="1"/>
      <c r="H16" s="1">
        <v>0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pans="1:23" x14ac:dyDescent="0.25">
      <c r="A17" s="3" t="s">
        <v>45</v>
      </c>
      <c r="B17" s="16" t="s">
        <v>46</v>
      </c>
      <c r="C17" s="2">
        <f t="shared" si="0"/>
        <v>0</v>
      </c>
      <c r="D17" s="3">
        <f t="shared" si="1"/>
        <v>0</v>
      </c>
      <c r="E17" s="5">
        <v>20950</v>
      </c>
      <c r="F17" s="1"/>
      <c r="G17" s="1"/>
      <c r="H17" s="1">
        <v>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x14ac:dyDescent="0.25">
      <c r="A18" s="19" t="s">
        <v>47</v>
      </c>
      <c r="B18" s="16" t="s">
        <v>28</v>
      </c>
      <c r="C18" s="2">
        <f t="shared" si="0"/>
        <v>225</v>
      </c>
      <c r="D18" s="3">
        <f t="shared" si="1"/>
        <v>450</v>
      </c>
      <c r="E18" s="5">
        <v>4300</v>
      </c>
      <c r="F18" s="1"/>
      <c r="G18" s="1">
        <v>450</v>
      </c>
      <c r="H18" s="1">
        <v>0</v>
      </c>
      <c r="I18" s="1"/>
      <c r="J18" s="1"/>
      <c r="K18" s="1"/>
      <c r="L18" s="1"/>
      <c r="M18" s="1"/>
      <c r="N18" s="6"/>
      <c r="O18" s="1"/>
      <c r="P18" s="1"/>
      <c r="Q18" s="1"/>
      <c r="R18" s="1"/>
      <c r="S18" s="1"/>
      <c r="T18" s="1"/>
      <c r="U18" s="1"/>
      <c r="V18" s="1"/>
      <c r="W18" s="1"/>
    </row>
    <row r="19" spans="1:23" x14ac:dyDescent="0.25">
      <c r="A19" s="3" t="s">
        <v>48</v>
      </c>
      <c r="B19" s="16" t="s">
        <v>28</v>
      </c>
      <c r="C19" s="2">
        <f t="shared" si="0"/>
        <v>333</v>
      </c>
      <c r="D19" s="3">
        <f t="shared" si="1"/>
        <v>1000</v>
      </c>
      <c r="E19" s="5">
        <v>5025</v>
      </c>
      <c r="F19" s="1">
        <v>1000</v>
      </c>
      <c r="G19" s="1">
        <v>0</v>
      </c>
      <c r="H19" s="1">
        <v>0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x14ac:dyDescent="0.25">
      <c r="A20" s="19" t="s">
        <v>49</v>
      </c>
      <c r="B20" s="16" t="s">
        <v>28</v>
      </c>
      <c r="C20" s="2">
        <f t="shared" si="0"/>
        <v>2000</v>
      </c>
      <c r="D20" s="3">
        <f t="shared" si="1"/>
        <v>4000</v>
      </c>
      <c r="E20" s="5">
        <v>39125</v>
      </c>
      <c r="F20" s="1"/>
      <c r="G20" s="1">
        <v>4000</v>
      </c>
      <c r="H20" s="1">
        <v>0</v>
      </c>
      <c r="I20" s="1"/>
      <c r="J20" s="1"/>
      <c r="K20" s="1"/>
      <c r="L20" s="1"/>
      <c r="M20" s="1"/>
      <c r="N20" s="1"/>
      <c r="O20" s="1"/>
      <c r="P20" s="1"/>
      <c r="Q20" s="6"/>
      <c r="R20" s="1"/>
      <c r="S20" s="1"/>
      <c r="T20" s="1"/>
      <c r="U20" s="1"/>
      <c r="V20" s="1"/>
      <c r="W20" s="1"/>
    </row>
    <row r="21" spans="1:23" x14ac:dyDescent="0.25">
      <c r="A21" s="3" t="s">
        <v>50</v>
      </c>
      <c r="B21" s="16" t="s">
        <v>28</v>
      </c>
      <c r="C21" s="2">
        <f t="shared" si="0"/>
        <v>2667</v>
      </c>
      <c r="D21" s="3">
        <f t="shared" si="1"/>
        <v>8000</v>
      </c>
      <c r="E21" s="5">
        <v>20250</v>
      </c>
      <c r="F21" s="1">
        <v>4000</v>
      </c>
      <c r="G21" s="1">
        <v>4000</v>
      </c>
      <c r="H21" s="1">
        <v>0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x14ac:dyDescent="0.25">
      <c r="A22" s="3" t="s">
        <v>51</v>
      </c>
      <c r="B22" s="16" t="s">
        <v>28</v>
      </c>
      <c r="C22" s="2">
        <f t="shared" si="0"/>
        <v>50</v>
      </c>
      <c r="D22" s="3">
        <f t="shared" si="1"/>
        <v>100</v>
      </c>
      <c r="E22" s="5">
        <v>750</v>
      </c>
      <c r="F22" s="1"/>
      <c r="G22" s="1">
        <v>0</v>
      </c>
      <c r="H22" s="1">
        <v>100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x14ac:dyDescent="0.25">
      <c r="A23" s="3" t="s">
        <v>52</v>
      </c>
      <c r="B23" s="16" t="s">
        <v>28</v>
      </c>
      <c r="C23" s="2">
        <f t="shared" si="0"/>
        <v>1383</v>
      </c>
      <c r="D23" s="3">
        <f t="shared" si="1"/>
        <v>4150</v>
      </c>
      <c r="E23" s="5">
        <v>16600</v>
      </c>
      <c r="F23" s="1">
        <v>4000</v>
      </c>
      <c r="G23" s="1">
        <v>0</v>
      </c>
      <c r="H23" s="1">
        <v>150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1:23" x14ac:dyDescent="0.25">
      <c r="A24" s="3" t="s">
        <v>53</v>
      </c>
      <c r="B24" s="16" t="s">
        <v>28</v>
      </c>
      <c r="C24" s="2">
        <f t="shared" si="0"/>
        <v>2150</v>
      </c>
      <c r="D24" s="3">
        <f t="shared" si="1"/>
        <v>4300</v>
      </c>
      <c r="E24" s="5">
        <v>5750</v>
      </c>
      <c r="F24" s="1"/>
      <c r="G24" s="1">
        <v>4000</v>
      </c>
      <c r="H24" s="1">
        <v>300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x14ac:dyDescent="0.25">
      <c r="A25" s="3" t="s">
        <v>54</v>
      </c>
      <c r="B25" s="16" t="s">
        <v>28</v>
      </c>
      <c r="C25" s="2">
        <f t="shared" si="0"/>
        <v>600</v>
      </c>
      <c r="D25" s="3">
        <f t="shared" si="1"/>
        <v>1200</v>
      </c>
      <c r="E25" s="5">
        <v>7700</v>
      </c>
      <c r="F25" s="1"/>
      <c r="G25" s="1">
        <v>0</v>
      </c>
      <c r="H25" s="1">
        <v>1200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1:23" x14ac:dyDescent="0.25">
      <c r="A26" s="3" t="s">
        <v>55</v>
      </c>
      <c r="B26" s="16" t="s">
        <v>28</v>
      </c>
      <c r="C26" s="2">
        <f t="shared" si="0"/>
        <v>1200</v>
      </c>
      <c r="D26" s="3">
        <f t="shared" si="1"/>
        <v>1200</v>
      </c>
      <c r="E26" s="5">
        <v>36850</v>
      </c>
      <c r="F26" s="1"/>
      <c r="G26" s="1"/>
      <c r="H26" s="1">
        <v>1200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23" x14ac:dyDescent="0.25">
      <c r="A27" s="3" t="s">
        <v>56</v>
      </c>
      <c r="B27" s="16" t="s">
        <v>28</v>
      </c>
      <c r="C27" s="2">
        <f t="shared" si="0"/>
        <v>1300</v>
      </c>
      <c r="D27" s="3">
        <f t="shared" si="1"/>
        <v>1300</v>
      </c>
      <c r="E27" s="5">
        <v>66250</v>
      </c>
      <c r="F27" s="1"/>
      <c r="G27" s="1"/>
      <c r="H27" s="1">
        <v>1300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23" x14ac:dyDescent="0.25">
      <c r="A28" s="3" t="s">
        <v>57</v>
      </c>
      <c r="B28" s="16" t="s">
        <v>28</v>
      </c>
      <c r="C28" s="2">
        <f t="shared" si="0"/>
        <v>1917</v>
      </c>
      <c r="D28" s="3">
        <f t="shared" si="1"/>
        <v>5750</v>
      </c>
      <c r="E28" s="5">
        <v>20850</v>
      </c>
      <c r="F28" s="1">
        <v>1500</v>
      </c>
      <c r="G28" s="1">
        <v>2450</v>
      </c>
      <c r="H28" s="1">
        <v>1800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x14ac:dyDescent="0.25">
      <c r="A29" s="3" t="s">
        <v>58</v>
      </c>
      <c r="B29" s="16" t="s">
        <v>28</v>
      </c>
      <c r="C29" s="2">
        <f t="shared" si="0"/>
        <v>1100</v>
      </c>
      <c r="D29" s="3">
        <f t="shared" si="1"/>
        <v>2200</v>
      </c>
      <c r="E29" s="5">
        <v>21000</v>
      </c>
      <c r="F29" s="1"/>
      <c r="G29" s="1">
        <v>250</v>
      </c>
      <c r="H29" s="1">
        <v>1950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23" x14ac:dyDescent="0.25">
      <c r="A30" s="3" t="s">
        <v>59</v>
      </c>
      <c r="B30" s="16" t="s">
        <v>28</v>
      </c>
      <c r="C30" s="2">
        <f t="shared" si="0"/>
        <v>3550</v>
      </c>
      <c r="D30" s="3">
        <f t="shared" si="1"/>
        <v>10650</v>
      </c>
      <c r="E30" s="5">
        <v>32400</v>
      </c>
      <c r="F30" s="1">
        <v>4000</v>
      </c>
      <c r="G30" s="1">
        <v>4000</v>
      </c>
      <c r="H30" s="1">
        <v>2650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x14ac:dyDescent="0.25">
      <c r="A31" s="3" t="s">
        <v>60</v>
      </c>
      <c r="B31" s="16" t="s">
        <v>28</v>
      </c>
      <c r="C31" s="2">
        <f t="shared" si="0"/>
        <v>3700</v>
      </c>
      <c r="D31" s="3">
        <f t="shared" si="1"/>
        <v>7400</v>
      </c>
      <c r="E31" s="5">
        <v>7450</v>
      </c>
      <c r="F31" s="1"/>
      <c r="G31" s="1">
        <v>4000</v>
      </c>
      <c r="H31" s="1">
        <v>3400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23" x14ac:dyDescent="0.25">
      <c r="A32" s="3" t="s">
        <v>61</v>
      </c>
      <c r="B32" s="16" t="s">
        <v>28</v>
      </c>
      <c r="C32" s="2">
        <f t="shared" si="0"/>
        <v>3650</v>
      </c>
      <c r="D32" s="3">
        <f t="shared" si="1"/>
        <v>3650</v>
      </c>
      <c r="E32" s="5">
        <v>21075</v>
      </c>
      <c r="F32" s="1"/>
      <c r="G32" s="1"/>
      <c r="H32" s="1">
        <v>3650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x14ac:dyDescent="0.25">
      <c r="A33" s="3" t="s">
        <v>62</v>
      </c>
      <c r="B33" s="16" t="s">
        <v>28</v>
      </c>
      <c r="C33" s="2">
        <f t="shared" si="0"/>
        <v>3850</v>
      </c>
      <c r="D33" s="3">
        <f t="shared" si="1"/>
        <v>3850</v>
      </c>
      <c r="E33" s="5">
        <v>99120</v>
      </c>
      <c r="F33" s="1"/>
      <c r="G33" s="1"/>
      <c r="H33" s="1">
        <v>3850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:23" x14ac:dyDescent="0.25">
      <c r="A34" s="3" t="s">
        <v>63</v>
      </c>
      <c r="B34" s="16" t="s">
        <v>28</v>
      </c>
      <c r="C34" s="2">
        <f t="shared" ref="C34:C51" si="2">ROUND(AVERAGE(F34:AB34), 0)</f>
        <v>4017</v>
      </c>
      <c r="D34" s="3">
        <f t="shared" ref="D34:D51" si="3">SUM(F34:AB34)</f>
        <v>12050</v>
      </c>
      <c r="E34" s="5">
        <v>24175</v>
      </c>
      <c r="F34" s="1">
        <v>4000</v>
      </c>
      <c r="G34" s="1">
        <v>4000</v>
      </c>
      <c r="H34" s="1">
        <v>4050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x14ac:dyDescent="0.25">
      <c r="A35" s="3" t="s">
        <v>64</v>
      </c>
      <c r="B35" s="16" t="s">
        <v>65</v>
      </c>
      <c r="C35" s="2">
        <f t="shared" si="2"/>
        <v>4050</v>
      </c>
      <c r="D35" s="3">
        <f t="shared" si="3"/>
        <v>4050</v>
      </c>
      <c r="E35" s="5">
        <v>115700</v>
      </c>
      <c r="F35" s="1"/>
      <c r="G35" s="1"/>
      <c r="H35" s="1">
        <v>4050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:23" x14ac:dyDescent="0.25">
      <c r="A36" s="3" t="s">
        <v>66</v>
      </c>
      <c r="B36" s="16" t="s">
        <v>28</v>
      </c>
      <c r="C36" s="2">
        <f t="shared" si="2"/>
        <v>4033</v>
      </c>
      <c r="D36" s="3">
        <f t="shared" si="3"/>
        <v>12100</v>
      </c>
      <c r="E36" s="5">
        <v>23100</v>
      </c>
      <c r="F36" s="1">
        <v>4000</v>
      </c>
      <c r="G36" s="1">
        <v>4000</v>
      </c>
      <c r="H36" s="1">
        <v>4100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x14ac:dyDescent="0.25">
      <c r="A37" s="3" t="s">
        <v>67</v>
      </c>
      <c r="B37" s="16" t="s">
        <v>28</v>
      </c>
      <c r="C37" s="2">
        <f t="shared" si="2"/>
        <v>4350</v>
      </c>
      <c r="D37" s="3">
        <f t="shared" si="3"/>
        <v>8700</v>
      </c>
      <c r="E37" s="5">
        <v>14980</v>
      </c>
      <c r="F37" s="1"/>
      <c r="G37" s="1">
        <v>4000</v>
      </c>
      <c r="H37" s="1">
        <v>4700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:23" x14ac:dyDescent="0.25">
      <c r="A38" s="3" t="s">
        <v>68</v>
      </c>
      <c r="B38" s="16" t="s">
        <v>28</v>
      </c>
      <c r="C38" s="2">
        <f t="shared" si="2"/>
        <v>2625</v>
      </c>
      <c r="D38" s="3">
        <f t="shared" si="3"/>
        <v>5250</v>
      </c>
      <c r="E38" s="5">
        <v>6950</v>
      </c>
      <c r="F38" s="1"/>
      <c r="G38" s="1">
        <v>0</v>
      </c>
      <c r="H38" s="1">
        <v>5250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:23" x14ac:dyDescent="0.25">
      <c r="A39" s="3" t="s">
        <v>69</v>
      </c>
      <c r="B39" s="16" t="s">
        <v>28</v>
      </c>
      <c r="C39" s="2">
        <f t="shared" si="2"/>
        <v>4583</v>
      </c>
      <c r="D39" s="3">
        <f t="shared" si="3"/>
        <v>13750</v>
      </c>
      <c r="E39" s="5">
        <v>24950</v>
      </c>
      <c r="F39" s="1">
        <v>4000</v>
      </c>
      <c r="G39" s="1">
        <v>4000</v>
      </c>
      <c r="H39" s="1">
        <v>5750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:23" x14ac:dyDescent="0.25">
      <c r="A40" s="3" t="s">
        <v>70</v>
      </c>
      <c r="B40" s="16" t="s">
        <v>28</v>
      </c>
      <c r="C40" s="2">
        <f t="shared" si="2"/>
        <v>3967</v>
      </c>
      <c r="D40" s="3">
        <f t="shared" si="3"/>
        <v>11900</v>
      </c>
      <c r="E40" s="5">
        <v>24650</v>
      </c>
      <c r="F40" s="1">
        <v>4000</v>
      </c>
      <c r="G40" s="1">
        <v>2100</v>
      </c>
      <c r="H40" s="1">
        <v>5800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x14ac:dyDescent="0.25">
      <c r="A41" s="3" t="s">
        <v>71</v>
      </c>
      <c r="B41" s="16" t="s">
        <v>7</v>
      </c>
      <c r="C41" s="2">
        <f t="shared" si="2"/>
        <v>6550</v>
      </c>
      <c r="D41" s="3">
        <f t="shared" si="3"/>
        <v>6550</v>
      </c>
      <c r="E41" s="5">
        <v>50000</v>
      </c>
      <c r="F41" s="1"/>
      <c r="G41" s="1"/>
      <c r="H41" s="1">
        <v>6550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x14ac:dyDescent="0.25">
      <c r="A42" s="3" t="s">
        <v>72</v>
      </c>
      <c r="B42" s="16" t="s">
        <v>28</v>
      </c>
      <c r="C42" s="2">
        <f t="shared" si="2"/>
        <v>5033</v>
      </c>
      <c r="D42" s="3">
        <f t="shared" si="3"/>
        <v>15100</v>
      </c>
      <c r="E42" s="5">
        <v>21100</v>
      </c>
      <c r="F42" s="1">
        <v>4000</v>
      </c>
      <c r="G42" s="1">
        <v>4000</v>
      </c>
      <c r="H42" s="1">
        <v>7100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:23" x14ac:dyDescent="0.25">
      <c r="A43" s="3" t="s">
        <v>73</v>
      </c>
      <c r="B43" s="16" t="s">
        <v>28</v>
      </c>
      <c r="C43" s="2">
        <f t="shared" si="2"/>
        <v>6700</v>
      </c>
      <c r="D43" s="3">
        <f t="shared" si="3"/>
        <v>13400</v>
      </c>
      <c r="E43" s="5">
        <v>18100</v>
      </c>
      <c r="F43" s="1"/>
      <c r="G43" s="1">
        <v>4000</v>
      </c>
      <c r="H43" s="1">
        <v>9400</v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:23" x14ac:dyDescent="0.25">
      <c r="A44" s="3" t="s">
        <v>74</v>
      </c>
      <c r="B44" s="16" t="s">
        <v>28</v>
      </c>
      <c r="C44" s="2">
        <f t="shared" si="2"/>
        <v>6000</v>
      </c>
      <c r="D44" s="3">
        <f t="shared" si="3"/>
        <v>18000</v>
      </c>
      <c r="E44" s="5">
        <v>38400</v>
      </c>
      <c r="F44" s="1">
        <v>4000</v>
      </c>
      <c r="G44" s="1">
        <v>4000</v>
      </c>
      <c r="H44" s="1">
        <v>10000</v>
      </c>
      <c r="I44" s="1"/>
      <c r="J44" s="1"/>
      <c r="K44" s="1"/>
      <c r="L44" s="1"/>
      <c r="M44" s="1"/>
      <c r="N44" s="1"/>
      <c r="O44" s="1"/>
      <c r="P44" s="6"/>
      <c r="Q44" s="1"/>
      <c r="R44" s="1"/>
      <c r="S44" s="1"/>
      <c r="T44" s="1"/>
      <c r="U44" s="1"/>
      <c r="V44" s="1"/>
      <c r="W44" s="1"/>
    </row>
    <row r="45" spans="1:23" x14ac:dyDescent="0.25">
      <c r="A45" s="3" t="s">
        <v>75</v>
      </c>
      <c r="B45" s="16" t="s">
        <v>28</v>
      </c>
      <c r="C45" s="2">
        <f t="shared" si="2"/>
        <v>6000</v>
      </c>
      <c r="D45" s="3">
        <f t="shared" si="3"/>
        <v>18000</v>
      </c>
      <c r="E45" s="5">
        <v>26450</v>
      </c>
      <c r="F45" s="1">
        <v>4000</v>
      </c>
      <c r="G45" s="1">
        <v>4000</v>
      </c>
      <c r="H45" s="1">
        <v>10000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:23" x14ac:dyDescent="0.25">
      <c r="A46" s="3" t="s">
        <v>76</v>
      </c>
      <c r="B46" s="16" t="s">
        <v>28</v>
      </c>
      <c r="C46" s="2">
        <f t="shared" si="2"/>
        <v>6000</v>
      </c>
      <c r="D46" s="3">
        <f t="shared" si="3"/>
        <v>18000</v>
      </c>
      <c r="E46" s="5">
        <v>27200</v>
      </c>
      <c r="F46" s="1">
        <v>4000</v>
      </c>
      <c r="G46" s="1">
        <v>4000</v>
      </c>
      <c r="H46" s="1">
        <v>10000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:23" x14ac:dyDescent="0.25">
      <c r="A47" s="3" t="s">
        <v>77</v>
      </c>
      <c r="B47" s="16" t="s">
        <v>28</v>
      </c>
      <c r="C47" s="2">
        <f t="shared" si="2"/>
        <v>7000</v>
      </c>
      <c r="D47" s="3">
        <f t="shared" si="3"/>
        <v>14000</v>
      </c>
      <c r="E47" s="5">
        <v>35100</v>
      </c>
      <c r="F47" s="1"/>
      <c r="G47" s="1">
        <v>4000</v>
      </c>
      <c r="H47" s="1">
        <v>10000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:23" x14ac:dyDescent="0.25">
      <c r="A48" s="3" t="s">
        <v>78</v>
      </c>
      <c r="B48" s="16" t="s">
        <v>28</v>
      </c>
      <c r="C48" s="2">
        <f t="shared" si="2"/>
        <v>7000</v>
      </c>
      <c r="D48" s="3">
        <f t="shared" si="3"/>
        <v>14000</v>
      </c>
      <c r="E48" s="5">
        <v>23500</v>
      </c>
      <c r="F48" s="1"/>
      <c r="G48" s="1">
        <v>4000</v>
      </c>
      <c r="H48" s="1">
        <v>10000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23" x14ac:dyDescent="0.25">
      <c r="A49" s="3" t="s">
        <v>79</v>
      </c>
      <c r="B49" s="16" t="s">
        <v>28</v>
      </c>
      <c r="C49" s="2">
        <f t="shared" si="2"/>
        <v>10000</v>
      </c>
      <c r="D49" s="3">
        <f t="shared" si="3"/>
        <v>10000</v>
      </c>
      <c r="E49" s="5">
        <v>34900</v>
      </c>
      <c r="F49" s="1"/>
      <c r="G49" s="1"/>
      <c r="H49" s="1">
        <v>10000</v>
      </c>
      <c r="I49" s="1"/>
      <c r="J49" s="1"/>
      <c r="K49" s="1"/>
      <c r="L49" s="6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:23" x14ac:dyDescent="0.25">
      <c r="A50" s="3" t="s">
        <v>80</v>
      </c>
      <c r="B50" s="16" t="s">
        <v>28</v>
      </c>
      <c r="C50" s="2">
        <f t="shared" si="2"/>
        <v>10000</v>
      </c>
      <c r="D50" s="3">
        <f t="shared" si="3"/>
        <v>10000</v>
      </c>
      <c r="E50" s="5">
        <v>30700</v>
      </c>
      <c r="F50" s="1"/>
      <c r="G50" s="1"/>
      <c r="H50" s="1">
        <v>10000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ht="15.75" customHeight="1" x14ac:dyDescent="0.25">
      <c r="A51" s="3" t="s">
        <v>81</v>
      </c>
      <c r="B51" s="16" t="s">
        <v>28</v>
      </c>
      <c r="C51" s="2">
        <f t="shared" si="2"/>
        <v>10000</v>
      </c>
      <c r="D51" s="3">
        <f t="shared" si="3"/>
        <v>10000</v>
      </c>
      <c r="E51" s="5">
        <v>38650</v>
      </c>
      <c r="F51" s="1"/>
      <c r="G51" s="1"/>
      <c r="H51" s="1">
        <v>10000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pageMargins left="0.7" right="0.7" top="0.75" bottom="0.75" header="0.3" footer="0.3"/>
  <pageSetup paperSize="9" orientation="portrait" horizontalDpi="4294967293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46"/>
  <sheetViews>
    <sheetView tabSelected="1" topLeftCell="A21" workbookViewId="0">
      <selection activeCell="K8" sqref="K8"/>
    </sheetView>
  </sheetViews>
  <sheetFormatPr defaultRowHeight="15" x14ac:dyDescent="0.25"/>
  <cols>
    <col min="1" max="1" width="16" style="7" customWidth="1"/>
    <col min="2" max="2" width="13.85546875" style="11" customWidth="1"/>
    <col min="3" max="3" width="10.7109375" style="7" customWidth="1"/>
    <col min="4" max="5" width="11.7109375" style="11" customWidth="1"/>
    <col min="6" max="6" width="10.140625" style="11" customWidth="1"/>
    <col min="7" max="7" width="10.85546875" style="11" customWidth="1"/>
    <col min="8" max="14" width="11.5703125" style="11" customWidth="1"/>
    <col min="15" max="37" width="12.5703125" style="11" customWidth="1"/>
    <col min="38" max="44" width="9.140625" style="11" customWidth="1"/>
    <col min="45" max="16384" width="9.140625" style="11"/>
  </cols>
  <sheetData>
    <row r="1" spans="1:36" ht="15.75" customHeight="1" thickBot="1" x14ac:dyDescent="0.3">
      <c r="A1" s="8" t="s">
        <v>0</v>
      </c>
      <c r="B1" s="9" t="s">
        <v>1</v>
      </c>
      <c r="C1" s="8" t="s">
        <v>2</v>
      </c>
      <c r="D1" s="9" t="s">
        <v>82</v>
      </c>
      <c r="E1" s="9" t="s">
        <v>83</v>
      </c>
      <c r="F1" s="9" t="s">
        <v>84</v>
      </c>
      <c r="G1" s="9" t="s">
        <v>85</v>
      </c>
      <c r="H1" s="10" t="s">
        <v>37</v>
      </c>
      <c r="I1" s="11" t="s">
        <v>86</v>
      </c>
      <c r="J1" s="11" t="s">
        <v>87</v>
      </c>
      <c r="K1" s="11" t="s">
        <v>88</v>
      </c>
      <c r="L1" s="11" t="s">
        <v>89</v>
      </c>
      <c r="M1" s="11" t="s">
        <v>90</v>
      </c>
      <c r="N1" s="11" t="s">
        <v>15</v>
      </c>
      <c r="O1" s="11" t="s">
        <v>16</v>
      </c>
      <c r="P1" s="11" t="s">
        <v>17</v>
      </c>
      <c r="Q1" s="11" t="s">
        <v>18</v>
      </c>
      <c r="R1" s="11" t="s">
        <v>19</v>
      </c>
      <c r="S1" s="11" t="s">
        <v>20</v>
      </c>
      <c r="T1" s="11" t="s">
        <v>21</v>
      </c>
      <c r="U1" s="11" t="s">
        <v>22</v>
      </c>
      <c r="V1" s="11" t="s">
        <v>23</v>
      </c>
      <c r="W1" s="11" t="s">
        <v>24</v>
      </c>
      <c r="X1" s="11" t="s">
        <v>25</v>
      </c>
      <c r="Y1" s="11" t="s">
        <v>26</v>
      </c>
      <c r="Z1" s="11" t="s">
        <v>91</v>
      </c>
      <c r="AA1" s="11" t="s">
        <v>92</v>
      </c>
      <c r="AB1" s="11" t="s">
        <v>93</v>
      </c>
      <c r="AC1" s="11" t="s">
        <v>94</v>
      </c>
      <c r="AD1" s="11" t="s">
        <v>95</v>
      </c>
      <c r="AE1" s="11" t="s">
        <v>96</v>
      </c>
      <c r="AF1" s="11" t="s">
        <v>97</v>
      </c>
      <c r="AG1" s="11" t="s">
        <v>98</v>
      </c>
      <c r="AH1" s="11" t="s">
        <v>99</v>
      </c>
      <c r="AI1" s="11" t="s">
        <v>100</v>
      </c>
      <c r="AJ1" s="11" t="s">
        <v>101</v>
      </c>
    </row>
    <row r="2" spans="1:36" x14ac:dyDescent="0.25">
      <c r="A2" s="7" t="s">
        <v>52</v>
      </c>
      <c r="B2" s="12">
        <v>46006</v>
      </c>
      <c r="C2" s="13">
        <f>AVERAGE(D2:AJ2)</f>
        <v>0</v>
      </c>
      <c r="D2" s="11">
        <v>0</v>
      </c>
      <c r="E2" s="11">
        <v>0</v>
      </c>
      <c r="F2" s="11">
        <v>0</v>
      </c>
      <c r="G2" s="11">
        <v>0</v>
      </c>
      <c r="H2" s="11">
        <v>0</v>
      </c>
    </row>
    <row r="3" spans="1:36" x14ac:dyDescent="0.25">
      <c r="A3" s="7" t="s">
        <v>35</v>
      </c>
      <c r="B3" s="12">
        <v>46006</v>
      </c>
      <c r="C3" s="13">
        <f>AVERAGE(D3:AJ3)</f>
        <v>0</v>
      </c>
      <c r="G3" s="11">
        <v>0</v>
      </c>
      <c r="H3" s="11">
        <v>0</v>
      </c>
    </row>
    <row r="4" spans="1:36" x14ac:dyDescent="0.25">
      <c r="A4" s="7" t="s">
        <v>36</v>
      </c>
      <c r="B4" s="12">
        <v>46006</v>
      </c>
      <c r="C4" s="13">
        <f>AVERAGE(D4:AJ4)</f>
        <v>0</v>
      </c>
      <c r="G4" s="11">
        <v>0</v>
      </c>
      <c r="H4" s="11">
        <v>0</v>
      </c>
    </row>
    <row r="5" spans="1:36" x14ac:dyDescent="0.25">
      <c r="A5" s="7" t="s">
        <v>61</v>
      </c>
      <c r="B5" s="12">
        <v>46006</v>
      </c>
      <c r="C5" s="13">
        <f>AVERAGE(D5:AJ5)</f>
        <v>0</v>
      </c>
      <c r="G5" s="11">
        <v>0</v>
      </c>
      <c r="H5" s="11">
        <v>0</v>
      </c>
    </row>
    <row r="6" spans="1:36" x14ac:dyDescent="0.25">
      <c r="A6" s="7" t="s">
        <v>34</v>
      </c>
      <c r="B6" s="12">
        <v>46006</v>
      </c>
      <c r="C6" s="13">
        <f>AVERAGE(D6:AJ6)</f>
        <v>0</v>
      </c>
      <c r="G6" s="11">
        <v>0</v>
      </c>
      <c r="H6" s="11">
        <v>0</v>
      </c>
    </row>
    <row r="7" spans="1:36" x14ac:dyDescent="0.25">
      <c r="A7" s="20" t="s">
        <v>38</v>
      </c>
      <c r="B7" s="12">
        <v>46010</v>
      </c>
      <c r="C7" s="13">
        <f>AVERAGE(D7:AJ7)</f>
        <v>0</v>
      </c>
      <c r="H7" s="11">
        <v>0</v>
      </c>
    </row>
    <row r="8" spans="1:36" x14ac:dyDescent="0.25">
      <c r="A8" s="7" t="s">
        <v>40</v>
      </c>
      <c r="B8" s="12">
        <v>46010</v>
      </c>
      <c r="C8" s="13">
        <f>AVERAGE(D8:AJ8)</f>
        <v>0</v>
      </c>
      <c r="H8" s="11">
        <v>0</v>
      </c>
    </row>
    <row r="9" spans="1:36" x14ac:dyDescent="0.25">
      <c r="A9" s="7" t="s">
        <v>41</v>
      </c>
      <c r="B9" s="12">
        <v>46010</v>
      </c>
      <c r="C9" s="13">
        <f>AVERAGE(D9:AJ9)</f>
        <v>0</v>
      </c>
      <c r="H9" s="11">
        <v>0</v>
      </c>
    </row>
    <row r="10" spans="1:36" x14ac:dyDescent="0.25">
      <c r="A10" s="20" t="s">
        <v>49</v>
      </c>
      <c r="B10" s="12">
        <v>46006</v>
      </c>
      <c r="C10" s="13">
        <f>AVERAGE(D10:AJ10)</f>
        <v>0.8</v>
      </c>
      <c r="D10" s="11">
        <v>0</v>
      </c>
      <c r="E10" s="11">
        <v>0</v>
      </c>
      <c r="F10" s="11">
        <v>4</v>
      </c>
      <c r="G10" s="11">
        <v>0</v>
      </c>
      <c r="H10" s="11">
        <v>0</v>
      </c>
    </row>
    <row r="11" spans="1:36" x14ac:dyDescent="0.25">
      <c r="A11" s="7" t="s">
        <v>48</v>
      </c>
      <c r="B11" s="12">
        <v>46006</v>
      </c>
      <c r="C11" s="13">
        <f>AVERAGE(D11:AJ11)</f>
        <v>2.4</v>
      </c>
      <c r="D11" s="11">
        <v>6</v>
      </c>
      <c r="E11" s="11">
        <v>0</v>
      </c>
      <c r="F11" s="11">
        <v>6</v>
      </c>
      <c r="G11" s="11">
        <v>0</v>
      </c>
      <c r="H11" s="11">
        <v>0</v>
      </c>
    </row>
    <row r="12" spans="1:36" x14ac:dyDescent="0.25">
      <c r="A12" s="7" t="s">
        <v>58</v>
      </c>
      <c r="B12" s="12">
        <v>46006</v>
      </c>
      <c r="C12" s="13">
        <f>AVERAGE(D12:AJ12)</f>
        <v>2.4</v>
      </c>
      <c r="D12" s="11">
        <v>6</v>
      </c>
      <c r="E12" s="11">
        <v>6</v>
      </c>
      <c r="F12" s="11">
        <v>0</v>
      </c>
      <c r="G12" s="11">
        <v>0</v>
      </c>
      <c r="H12" s="11">
        <v>0</v>
      </c>
    </row>
    <row r="13" spans="1:36" x14ac:dyDescent="0.25">
      <c r="A13" s="7" t="s">
        <v>78</v>
      </c>
      <c r="B13" s="12">
        <v>46006</v>
      </c>
      <c r="C13" s="13">
        <f>AVERAGE(D13:AJ13)</f>
        <v>3.6</v>
      </c>
      <c r="D13" s="11">
        <v>6</v>
      </c>
      <c r="E13" s="11">
        <v>6</v>
      </c>
      <c r="F13" s="11">
        <v>6</v>
      </c>
      <c r="G13" s="11">
        <v>0</v>
      </c>
      <c r="H13" s="11">
        <v>0</v>
      </c>
    </row>
    <row r="14" spans="1:36" x14ac:dyDescent="0.25">
      <c r="A14" s="7" t="s">
        <v>66</v>
      </c>
      <c r="B14" s="12">
        <v>46006</v>
      </c>
      <c r="C14" s="13">
        <f>AVERAGE(D14:AJ14)</f>
        <v>4.8</v>
      </c>
      <c r="D14" s="11">
        <v>6</v>
      </c>
      <c r="E14" s="11">
        <v>6</v>
      </c>
      <c r="F14" s="11">
        <v>6</v>
      </c>
      <c r="G14" s="11">
        <v>6</v>
      </c>
      <c r="H14" s="11">
        <v>0</v>
      </c>
    </row>
    <row r="15" spans="1:36" x14ac:dyDescent="0.25">
      <c r="A15" s="7" t="s">
        <v>27</v>
      </c>
      <c r="B15" s="12">
        <v>46006</v>
      </c>
      <c r="C15" s="13">
        <f>AVERAGE(D15:AJ15)</f>
        <v>4.8</v>
      </c>
      <c r="D15" s="11">
        <v>6</v>
      </c>
      <c r="E15" s="11">
        <v>6</v>
      </c>
      <c r="F15" s="11">
        <v>6</v>
      </c>
      <c r="G15" s="11">
        <v>6</v>
      </c>
      <c r="H15" s="11">
        <v>0</v>
      </c>
    </row>
    <row r="16" spans="1:36" x14ac:dyDescent="0.25">
      <c r="A16" s="7" t="s">
        <v>72</v>
      </c>
      <c r="B16" s="12">
        <v>46006</v>
      </c>
      <c r="C16" s="13">
        <f>AVERAGE(D16:AJ16)</f>
        <v>4</v>
      </c>
      <c r="D16" s="11">
        <v>6</v>
      </c>
      <c r="E16" s="11">
        <v>0</v>
      </c>
      <c r="F16" s="11">
        <v>6</v>
      </c>
      <c r="G16" s="11">
        <v>6</v>
      </c>
      <c r="H16" s="11">
        <v>2</v>
      </c>
    </row>
    <row r="17" spans="1:8" x14ac:dyDescent="0.25">
      <c r="A17" s="7" t="s">
        <v>70</v>
      </c>
      <c r="B17" s="12">
        <v>46006</v>
      </c>
      <c r="C17" s="13">
        <f>AVERAGE(D17:AJ17)</f>
        <v>3.4</v>
      </c>
      <c r="D17" s="11">
        <v>6</v>
      </c>
      <c r="E17" s="11">
        <v>0</v>
      </c>
      <c r="F17" s="11">
        <v>6</v>
      </c>
      <c r="G17" s="11">
        <v>0</v>
      </c>
      <c r="H17" s="11">
        <v>5</v>
      </c>
    </row>
    <row r="18" spans="1:8" x14ac:dyDescent="0.25">
      <c r="A18" s="7" t="s">
        <v>80</v>
      </c>
      <c r="B18" s="12">
        <v>46006</v>
      </c>
      <c r="C18" s="13">
        <f>AVERAGE(D18:AJ18)</f>
        <v>3</v>
      </c>
      <c r="G18" s="11">
        <v>0</v>
      </c>
      <c r="H18" s="11">
        <v>6</v>
      </c>
    </row>
    <row r="19" spans="1:8" x14ac:dyDescent="0.25">
      <c r="A19" s="7" t="s">
        <v>81</v>
      </c>
      <c r="B19" s="12">
        <v>46006</v>
      </c>
      <c r="C19" s="13">
        <f>AVERAGE(D19:AJ19)</f>
        <v>6</v>
      </c>
      <c r="G19" s="11">
        <v>6</v>
      </c>
      <c r="H19" s="11">
        <v>6</v>
      </c>
    </row>
    <row r="20" spans="1:8" x14ac:dyDescent="0.25">
      <c r="A20" s="7" t="s">
        <v>55</v>
      </c>
      <c r="B20" s="12">
        <v>46006</v>
      </c>
      <c r="C20" s="13">
        <f>AVERAGE(D20:AJ20)</f>
        <v>6</v>
      </c>
      <c r="G20" s="11">
        <v>6</v>
      </c>
      <c r="H20" s="11">
        <v>6</v>
      </c>
    </row>
    <row r="21" spans="1:8" x14ac:dyDescent="0.25">
      <c r="A21" s="7" t="s">
        <v>59</v>
      </c>
      <c r="B21" s="12">
        <v>46006</v>
      </c>
      <c r="C21" s="13">
        <f>AVERAGE(D21:AJ21)</f>
        <v>6</v>
      </c>
      <c r="D21" s="11">
        <v>6</v>
      </c>
      <c r="E21" s="11">
        <v>6</v>
      </c>
      <c r="F21" s="11">
        <v>6</v>
      </c>
      <c r="G21" s="11">
        <v>6</v>
      </c>
      <c r="H21" s="11">
        <v>6</v>
      </c>
    </row>
    <row r="22" spans="1:8" x14ac:dyDescent="0.25">
      <c r="A22" s="7" t="s">
        <v>71</v>
      </c>
      <c r="B22" s="12" t="s">
        <v>102</v>
      </c>
      <c r="C22" s="13" t="e">
        <f>AVERAGE(D22:AJ22)</f>
        <v>#DIV/0!</v>
      </c>
    </row>
    <row r="23" spans="1:8" x14ac:dyDescent="0.25">
      <c r="A23" s="20" t="s">
        <v>42</v>
      </c>
      <c r="B23" s="12" t="s">
        <v>102</v>
      </c>
      <c r="C23" s="13" t="e">
        <f>AVERAGE(D23:AJ23)</f>
        <v>#DIV/0!</v>
      </c>
    </row>
    <row r="24" spans="1:8" x14ac:dyDescent="0.25">
      <c r="A24" s="20" t="s">
        <v>43</v>
      </c>
      <c r="B24" s="12" t="s">
        <v>102</v>
      </c>
      <c r="C24" s="13" t="e">
        <f>AVERAGE(D24:AJ24)</f>
        <v>#DIV/0!</v>
      </c>
    </row>
    <row r="25" spans="1:8" x14ac:dyDescent="0.25">
      <c r="A25" s="7" t="s">
        <v>54</v>
      </c>
      <c r="B25" s="12">
        <v>46006</v>
      </c>
      <c r="C25" s="13">
        <f>AVERAGE(D25:AJ25)</f>
        <v>4.5</v>
      </c>
      <c r="E25" s="11">
        <v>6</v>
      </c>
      <c r="F25" s="11">
        <v>6</v>
      </c>
      <c r="G25" s="11">
        <v>6</v>
      </c>
      <c r="H25" s="11">
        <v>0</v>
      </c>
    </row>
    <row r="26" spans="1:8" x14ac:dyDescent="0.25">
      <c r="A26" s="7" t="s">
        <v>79</v>
      </c>
      <c r="B26" s="12">
        <v>46006</v>
      </c>
      <c r="C26" s="13">
        <f>AVERAGE(D26:AJ26)</f>
        <v>3</v>
      </c>
      <c r="G26" s="11">
        <v>0</v>
      </c>
      <c r="H26" s="11">
        <v>6</v>
      </c>
    </row>
    <row r="27" spans="1:8" x14ac:dyDescent="0.25">
      <c r="A27" s="7" t="s">
        <v>53</v>
      </c>
      <c r="B27" s="12">
        <v>46006</v>
      </c>
      <c r="C27" s="13">
        <f>AVERAGE(D27:AJ27)</f>
        <v>6</v>
      </c>
      <c r="D27" s="11">
        <v>6</v>
      </c>
      <c r="E27" s="11">
        <v>6</v>
      </c>
      <c r="F27" s="11">
        <v>6</v>
      </c>
      <c r="G27" s="11">
        <v>6</v>
      </c>
      <c r="H27" s="11">
        <v>6</v>
      </c>
    </row>
    <row r="28" spans="1:8" x14ac:dyDescent="0.25">
      <c r="A28" s="7" t="s">
        <v>50</v>
      </c>
      <c r="B28" s="12">
        <v>46006</v>
      </c>
      <c r="C28" s="13">
        <f>AVERAGE(D28:AJ28)</f>
        <v>1.2</v>
      </c>
      <c r="D28" s="11">
        <v>0</v>
      </c>
      <c r="E28" s="11">
        <v>0</v>
      </c>
      <c r="F28" s="11">
        <v>6</v>
      </c>
      <c r="G28" s="11">
        <v>0</v>
      </c>
      <c r="H28" s="11">
        <v>0</v>
      </c>
    </row>
    <row r="29" spans="1:8" x14ac:dyDescent="0.25">
      <c r="A29" s="7" t="s">
        <v>56</v>
      </c>
      <c r="B29" s="12">
        <v>46006</v>
      </c>
      <c r="C29" s="13">
        <f>AVERAGE(D29:AJ29)</f>
        <v>5</v>
      </c>
      <c r="G29" s="11">
        <v>5</v>
      </c>
      <c r="H29" s="11">
        <v>5</v>
      </c>
    </row>
    <row r="30" spans="1:8" x14ac:dyDescent="0.25">
      <c r="A30" s="7" t="s">
        <v>67</v>
      </c>
      <c r="B30" s="12">
        <v>46006</v>
      </c>
      <c r="C30" s="13">
        <f>AVERAGE(D30:AJ30)</f>
        <v>5.6</v>
      </c>
      <c r="D30" s="11">
        <v>5</v>
      </c>
      <c r="E30" s="11">
        <v>6</v>
      </c>
      <c r="F30" s="11">
        <v>6</v>
      </c>
      <c r="G30" s="11">
        <v>6</v>
      </c>
      <c r="H30" s="11">
        <v>5</v>
      </c>
    </row>
    <row r="31" spans="1:8" x14ac:dyDescent="0.25">
      <c r="A31" s="7" t="s">
        <v>29</v>
      </c>
      <c r="B31" s="12">
        <v>46006</v>
      </c>
      <c r="C31" s="13">
        <f>AVERAGE(D31:AJ31)</f>
        <v>3</v>
      </c>
      <c r="G31" s="11">
        <v>0</v>
      </c>
      <c r="H31" s="11">
        <v>6</v>
      </c>
    </row>
    <row r="32" spans="1:8" x14ac:dyDescent="0.25">
      <c r="A32" s="7" t="s">
        <v>30</v>
      </c>
      <c r="B32" s="12">
        <v>46006</v>
      </c>
      <c r="C32" s="13">
        <f>AVERAGE(D32:AJ32)</f>
        <v>3</v>
      </c>
      <c r="G32" s="11">
        <v>0</v>
      </c>
      <c r="H32" s="11">
        <v>6</v>
      </c>
    </row>
    <row r="33" spans="1:8" x14ac:dyDescent="0.25">
      <c r="A33" s="7" t="s">
        <v>73</v>
      </c>
      <c r="B33" s="12">
        <v>46006</v>
      </c>
      <c r="C33" s="13">
        <f>AVERAGE(D33:AJ33)</f>
        <v>4.8</v>
      </c>
      <c r="D33" s="11">
        <v>0</v>
      </c>
      <c r="E33" s="11">
        <v>6</v>
      </c>
      <c r="F33" s="11">
        <v>6</v>
      </c>
      <c r="G33" s="11">
        <v>6</v>
      </c>
      <c r="H33" s="11">
        <v>6</v>
      </c>
    </row>
    <row r="34" spans="1:8" x14ac:dyDescent="0.25">
      <c r="A34" s="7" t="s">
        <v>76</v>
      </c>
      <c r="B34" s="12">
        <v>46006</v>
      </c>
      <c r="C34" s="13">
        <f>AVERAGE(D34:AJ34)</f>
        <v>5.8</v>
      </c>
      <c r="D34" s="11">
        <v>6</v>
      </c>
      <c r="E34" s="11">
        <v>6</v>
      </c>
      <c r="F34" s="11">
        <v>6</v>
      </c>
      <c r="G34" s="11">
        <v>5</v>
      </c>
      <c r="H34" s="11">
        <v>6</v>
      </c>
    </row>
    <row r="35" spans="1:8" x14ac:dyDescent="0.25">
      <c r="A35" s="7" t="s">
        <v>75</v>
      </c>
      <c r="B35" s="12">
        <v>46006</v>
      </c>
      <c r="C35" s="13">
        <f>AVERAGE(D35:AJ35)</f>
        <v>6</v>
      </c>
      <c r="D35" s="11">
        <v>6</v>
      </c>
      <c r="E35" s="11">
        <v>6</v>
      </c>
      <c r="F35" s="11">
        <v>6</v>
      </c>
      <c r="G35" s="11">
        <v>6</v>
      </c>
      <c r="H35" s="11">
        <v>6</v>
      </c>
    </row>
    <row r="36" spans="1:8" x14ac:dyDescent="0.25">
      <c r="A36" s="7" t="s">
        <v>60</v>
      </c>
      <c r="B36" s="12">
        <v>46006</v>
      </c>
      <c r="C36" s="13">
        <f>AVERAGE(D36:AJ36)</f>
        <v>6</v>
      </c>
      <c r="D36" s="11">
        <v>6</v>
      </c>
      <c r="E36" s="11">
        <v>6</v>
      </c>
      <c r="F36" s="11">
        <v>6</v>
      </c>
      <c r="G36" s="11">
        <v>6</v>
      </c>
      <c r="H36" s="11">
        <v>6</v>
      </c>
    </row>
    <row r="37" spans="1:8" x14ac:dyDescent="0.25">
      <c r="A37" s="7" t="s">
        <v>68</v>
      </c>
      <c r="B37" s="12">
        <v>46006</v>
      </c>
      <c r="C37" s="13">
        <f>AVERAGE(D37:AJ37)</f>
        <v>6</v>
      </c>
      <c r="D37" s="11">
        <v>6</v>
      </c>
      <c r="E37" s="11">
        <v>6</v>
      </c>
      <c r="F37" s="11">
        <v>6</v>
      </c>
      <c r="G37" s="11">
        <v>6</v>
      </c>
      <c r="H37" s="11">
        <v>6</v>
      </c>
    </row>
    <row r="38" spans="1:8" x14ac:dyDescent="0.25">
      <c r="A38" s="7" t="s">
        <v>57</v>
      </c>
      <c r="B38" s="12">
        <v>46006</v>
      </c>
      <c r="C38" s="13">
        <f>AVERAGE(D38:AJ38)</f>
        <v>6</v>
      </c>
      <c r="D38" s="11">
        <v>6</v>
      </c>
      <c r="E38" s="11">
        <v>6</v>
      </c>
      <c r="F38" s="11">
        <v>6</v>
      </c>
      <c r="G38" s="11">
        <v>6</v>
      </c>
      <c r="H38" s="11">
        <v>6</v>
      </c>
    </row>
    <row r="39" spans="1:8" x14ac:dyDescent="0.25">
      <c r="A39" s="7" t="s">
        <v>77</v>
      </c>
      <c r="B39" s="12">
        <v>46006</v>
      </c>
      <c r="C39" s="13">
        <f>AVERAGE(D39:AJ39)</f>
        <v>6</v>
      </c>
      <c r="D39" s="11">
        <v>6</v>
      </c>
      <c r="E39" s="11">
        <v>6</v>
      </c>
      <c r="F39" s="11">
        <v>6</v>
      </c>
      <c r="G39" s="11">
        <v>6</v>
      </c>
      <c r="H39" s="11">
        <v>6</v>
      </c>
    </row>
    <row r="40" spans="1:8" x14ac:dyDescent="0.25">
      <c r="A40" s="7" t="s">
        <v>74</v>
      </c>
      <c r="B40" s="12">
        <v>46006</v>
      </c>
      <c r="C40" s="13">
        <f>AVERAGE(D40:AJ40)</f>
        <v>6</v>
      </c>
      <c r="D40" s="11">
        <v>6</v>
      </c>
      <c r="E40" s="11">
        <v>6</v>
      </c>
      <c r="F40" s="11">
        <v>6</v>
      </c>
      <c r="G40" s="11">
        <v>6</v>
      </c>
      <c r="H40" s="11">
        <v>6</v>
      </c>
    </row>
    <row r="41" spans="1:8" x14ac:dyDescent="0.25">
      <c r="A41" s="7" t="s">
        <v>63</v>
      </c>
      <c r="B41" s="12">
        <v>46006</v>
      </c>
      <c r="C41" s="13">
        <f>AVERAGE(D41:AJ41)</f>
        <v>6</v>
      </c>
      <c r="D41" s="11">
        <v>6</v>
      </c>
      <c r="E41" s="11">
        <v>6</v>
      </c>
      <c r="F41" s="11">
        <v>6</v>
      </c>
      <c r="G41" s="11">
        <v>6</v>
      </c>
      <c r="H41" s="11">
        <v>6</v>
      </c>
    </row>
    <row r="42" spans="1:8" x14ac:dyDescent="0.25">
      <c r="A42" s="7" t="s">
        <v>69</v>
      </c>
      <c r="B42" s="12">
        <v>46006</v>
      </c>
      <c r="C42" s="13">
        <f>AVERAGE(D42:AJ42)</f>
        <v>6</v>
      </c>
      <c r="D42" s="11">
        <v>6</v>
      </c>
      <c r="E42" s="11">
        <v>6</v>
      </c>
      <c r="F42" s="11">
        <v>6</v>
      </c>
      <c r="G42" s="11">
        <v>6</v>
      </c>
      <c r="H42" s="11">
        <v>6</v>
      </c>
    </row>
    <row r="43" spans="1:8" x14ac:dyDescent="0.25">
      <c r="A43" s="7" t="s">
        <v>62</v>
      </c>
      <c r="B43" s="12">
        <v>46006</v>
      </c>
      <c r="C43" s="13">
        <f>AVERAGE(D43:AJ43)</f>
        <v>6</v>
      </c>
      <c r="G43" s="11">
        <v>6</v>
      </c>
      <c r="H43" s="11">
        <v>6</v>
      </c>
    </row>
    <row r="44" spans="1:8" x14ac:dyDescent="0.25">
      <c r="A44" s="7" t="s">
        <v>64</v>
      </c>
      <c r="B44" s="12" t="s">
        <v>65</v>
      </c>
      <c r="C44" s="13">
        <f>AVERAGE(D44:AJ44)</f>
        <v>6</v>
      </c>
      <c r="H44" s="11">
        <v>6</v>
      </c>
    </row>
    <row r="45" spans="1:8" x14ac:dyDescent="0.25">
      <c r="A45" s="7" t="s">
        <v>45</v>
      </c>
      <c r="B45" s="12" t="s">
        <v>102</v>
      </c>
      <c r="C45" s="13" t="e">
        <f>AVERAGE(D45:AJ45)</f>
        <v>#DIV/0!</v>
      </c>
    </row>
    <row r="46" spans="1:8" x14ac:dyDescent="0.25">
      <c r="A46" s="7" t="s">
        <v>103</v>
      </c>
      <c r="B46" s="12" t="s">
        <v>102</v>
      </c>
      <c r="C46" s="13" t="e">
        <f>AVERAGE(D46:AJ46)</f>
        <v>#DIV/0!</v>
      </c>
    </row>
  </sheetData>
  <pageMargins left="0.7" right="0.7" top="0.75" bottom="0.75" header="0.3" footer="0.3"/>
  <pageSetup paperSize="9" orientation="portrait" horizontalDpi="4294967293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51"/>
  <sheetViews>
    <sheetView topLeftCell="A12" workbookViewId="0">
      <selection activeCell="F11" sqref="F11"/>
    </sheetView>
  </sheetViews>
  <sheetFormatPr defaultRowHeight="15" x14ac:dyDescent="0.25"/>
  <cols>
    <col min="1" max="1" width="14.28515625" customWidth="1"/>
    <col min="2" max="10" width="11.5703125" customWidth="1"/>
    <col min="11" max="19" width="12.5703125" customWidth="1"/>
  </cols>
  <sheetData>
    <row r="1" spans="1:19" ht="15.75" customHeight="1" thickBot="1" x14ac:dyDescent="0.3">
      <c r="A1" s="4" t="s">
        <v>104</v>
      </c>
      <c r="B1" t="s">
        <v>105</v>
      </c>
      <c r="C1" t="s">
        <v>106</v>
      </c>
      <c r="D1" t="s">
        <v>107</v>
      </c>
      <c r="E1" t="s">
        <v>108</v>
      </c>
      <c r="F1" t="s">
        <v>86</v>
      </c>
      <c r="G1" t="s">
        <v>87</v>
      </c>
      <c r="H1" t="s">
        <v>88</v>
      </c>
      <c r="I1" t="s">
        <v>89</v>
      </c>
      <c r="J1" t="s">
        <v>90</v>
      </c>
      <c r="K1" t="s">
        <v>15</v>
      </c>
      <c r="L1" t="s">
        <v>16</v>
      </c>
      <c r="M1" t="s">
        <v>17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23</v>
      </c>
    </row>
    <row r="2" spans="1:19" x14ac:dyDescent="0.25">
      <c r="A2" s="3" t="s">
        <v>109</v>
      </c>
      <c r="B2">
        <v>19</v>
      </c>
    </row>
    <row r="3" spans="1:19" x14ac:dyDescent="0.25">
      <c r="A3" s="3" t="s">
        <v>60</v>
      </c>
      <c r="B3">
        <v>552</v>
      </c>
    </row>
    <row r="4" spans="1:19" x14ac:dyDescent="0.25">
      <c r="A4" s="3" t="s">
        <v>41</v>
      </c>
      <c r="B4">
        <v>12</v>
      </c>
    </row>
    <row r="5" spans="1:19" x14ac:dyDescent="0.25">
      <c r="A5" s="3" t="s">
        <v>29</v>
      </c>
      <c r="B5">
        <v>38</v>
      </c>
    </row>
    <row r="6" spans="1:19" x14ac:dyDescent="0.25">
      <c r="A6" s="3" t="s">
        <v>72</v>
      </c>
      <c r="B6">
        <v>105</v>
      </c>
    </row>
    <row r="7" spans="1:19" x14ac:dyDescent="0.25">
      <c r="A7" s="3" t="s">
        <v>66</v>
      </c>
      <c r="B7">
        <v>212</v>
      </c>
    </row>
    <row r="8" spans="1:19" x14ac:dyDescent="0.25">
      <c r="A8" s="3" t="s">
        <v>31</v>
      </c>
      <c r="B8">
        <v>61</v>
      </c>
    </row>
    <row r="9" spans="1:19" x14ac:dyDescent="0.25">
      <c r="A9" s="3" t="s">
        <v>27</v>
      </c>
      <c r="B9">
        <v>3</v>
      </c>
    </row>
    <row r="10" spans="1:19" x14ac:dyDescent="0.25">
      <c r="A10" s="3" t="s">
        <v>50</v>
      </c>
      <c r="B10">
        <v>32</v>
      </c>
    </row>
    <row r="11" spans="1:19" x14ac:dyDescent="0.25">
      <c r="A11" s="3" t="s">
        <v>51</v>
      </c>
      <c r="B11">
        <v>54</v>
      </c>
    </row>
    <row r="12" spans="1:19" x14ac:dyDescent="0.25">
      <c r="A12" s="3" t="s">
        <v>55</v>
      </c>
      <c r="B12">
        <v>130</v>
      </c>
    </row>
    <row r="13" spans="1:19" x14ac:dyDescent="0.25">
      <c r="A13" s="3" t="s">
        <v>52</v>
      </c>
      <c r="B13">
        <v>92</v>
      </c>
    </row>
    <row r="14" spans="1:19" x14ac:dyDescent="0.25">
      <c r="A14" s="3" t="s">
        <v>30</v>
      </c>
      <c r="B14">
        <v>37</v>
      </c>
    </row>
    <row r="15" spans="1:19" x14ac:dyDescent="0.25">
      <c r="A15" s="3" t="s">
        <v>56</v>
      </c>
      <c r="B15">
        <v>21</v>
      </c>
    </row>
    <row r="16" spans="1:19" x14ac:dyDescent="0.25">
      <c r="A16" s="3" t="s">
        <v>76</v>
      </c>
      <c r="B16">
        <v>102</v>
      </c>
    </row>
    <row r="17" spans="1:2" x14ac:dyDescent="0.25">
      <c r="A17" s="3" t="s">
        <v>39</v>
      </c>
      <c r="B17">
        <v>87</v>
      </c>
    </row>
    <row r="18" spans="1:2" x14ac:dyDescent="0.25">
      <c r="A18" s="3" t="s">
        <v>68</v>
      </c>
      <c r="B18">
        <v>192</v>
      </c>
    </row>
    <row r="19" spans="1:2" x14ac:dyDescent="0.25">
      <c r="A19" s="3" t="s">
        <v>57</v>
      </c>
      <c r="B19">
        <v>15</v>
      </c>
    </row>
    <row r="20" spans="1:2" x14ac:dyDescent="0.25">
      <c r="A20" s="3" t="s">
        <v>75</v>
      </c>
      <c r="B20">
        <v>650</v>
      </c>
    </row>
    <row r="21" spans="1:2" x14ac:dyDescent="0.25">
      <c r="A21" s="3" t="s">
        <v>110</v>
      </c>
      <c r="B21">
        <v>20</v>
      </c>
    </row>
    <row r="22" spans="1:2" x14ac:dyDescent="0.25">
      <c r="A22" s="3" t="s">
        <v>78</v>
      </c>
      <c r="B22">
        <v>566</v>
      </c>
    </row>
    <row r="23" spans="1:2" x14ac:dyDescent="0.25">
      <c r="A23" s="3" t="s">
        <v>111</v>
      </c>
      <c r="B23">
        <v>9</v>
      </c>
    </row>
    <row r="24" spans="1:2" x14ac:dyDescent="0.25">
      <c r="A24" s="3" t="s">
        <v>38</v>
      </c>
      <c r="B24">
        <v>29</v>
      </c>
    </row>
    <row r="25" spans="1:2" x14ac:dyDescent="0.25">
      <c r="A25" s="3" t="s">
        <v>33</v>
      </c>
      <c r="B25">
        <v>0</v>
      </c>
    </row>
    <row r="26" spans="1:2" x14ac:dyDescent="0.25">
      <c r="A26" s="3" t="s">
        <v>77</v>
      </c>
      <c r="B26">
        <v>538</v>
      </c>
    </row>
    <row r="27" spans="1:2" x14ac:dyDescent="0.25">
      <c r="A27" s="3" t="s">
        <v>47</v>
      </c>
      <c r="B27">
        <v>58</v>
      </c>
    </row>
    <row r="28" spans="1:2" x14ac:dyDescent="0.25">
      <c r="A28" s="3" t="s">
        <v>79</v>
      </c>
      <c r="B28">
        <v>282</v>
      </c>
    </row>
    <row r="29" spans="1:2" x14ac:dyDescent="0.25">
      <c r="A29" s="3" t="s">
        <v>49</v>
      </c>
      <c r="B29">
        <v>424</v>
      </c>
    </row>
    <row r="30" spans="1:2" x14ac:dyDescent="0.25">
      <c r="A30" s="3" t="s">
        <v>48</v>
      </c>
      <c r="B30">
        <v>199</v>
      </c>
    </row>
    <row r="31" spans="1:2" x14ac:dyDescent="0.25">
      <c r="A31" s="3" t="s">
        <v>70</v>
      </c>
      <c r="B31">
        <v>237</v>
      </c>
    </row>
    <row r="32" spans="1:2" x14ac:dyDescent="0.25">
      <c r="A32" s="3" t="s">
        <v>35</v>
      </c>
      <c r="B32">
        <v>0</v>
      </c>
    </row>
    <row r="33" spans="1:2" x14ac:dyDescent="0.25">
      <c r="A33" s="3" t="s">
        <v>40</v>
      </c>
      <c r="B33">
        <v>3</v>
      </c>
    </row>
    <row r="34" spans="1:2" x14ac:dyDescent="0.25">
      <c r="A34" s="3" t="s">
        <v>81</v>
      </c>
      <c r="B34">
        <v>935</v>
      </c>
    </row>
    <row r="35" spans="1:2" x14ac:dyDescent="0.25">
      <c r="A35" s="3" t="s">
        <v>80</v>
      </c>
      <c r="B35">
        <v>132</v>
      </c>
    </row>
    <row r="36" spans="1:2" x14ac:dyDescent="0.25">
      <c r="A36" s="3" t="s">
        <v>59</v>
      </c>
      <c r="B36">
        <v>103</v>
      </c>
    </row>
    <row r="37" spans="1:2" x14ac:dyDescent="0.25">
      <c r="A37" s="3" t="s">
        <v>67</v>
      </c>
      <c r="B37">
        <v>109</v>
      </c>
    </row>
    <row r="38" spans="1:2" x14ac:dyDescent="0.25">
      <c r="A38" s="3" t="s">
        <v>32</v>
      </c>
      <c r="B38">
        <v>0</v>
      </c>
    </row>
    <row r="39" spans="1:2" x14ac:dyDescent="0.25">
      <c r="A39" s="3" t="s">
        <v>74</v>
      </c>
      <c r="B39">
        <v>171</v>
      </c>
    </row>
    <row r="40" spans="1:2" x14ac:dyDescent="0.25">
      <c r="A40" s="3" t="s">
        <v>36</v>
      </c>
      <c r="B40">
        <v>9</v>
      </c>
    </row>
    <row r="41" spans="1:2" x14ac:dyDescent="0.25">
      <c r="A41" s="3" t="s">
        <v>53</v>
      </c>
      <c r="B41">
        <v>169</v>
      </c>
    </row>
    <row r="42" spans="1:2" x14ac:dyDescent="0.25">
      <c r="A42" s="3" t="s">
        <v>73</v>
      </c>
      <c r="B42">
        <v>491</v>
      </c>
    </row>
    <row r="43" spans="1:2" x14ac:dyDescent="0.25">
      <c r="A43" s="3" t="s">
        <v>58</v>
      </c>
      <c r="B43">
        <v>96</v>
      </c>
    </row>
    <row r="44" spans="1:2" x14ac:dyDescent="0.25">
      <c r="A44" s="3" t="s">
        <v>63</v>
      </c>
      <c r="B44">
        <v>388</v>
      </c>
    </row>
    <row r="45" spans="1:2" x14ac:dyDescent="0.25">
      <c r="A45" s="3" t="s">
        <v>61</v>
      </c>
      <c r="B45">
        <v>43</v>
      </c>
    </row>
    <row r="46" spans="1:2" x14ac:dyDescent="0.25">
      <c r="A46" s="3" t="s">
        <v>69</v>
      </c>
      <c r="B46">
        <v>228</v>
      </c>
    </row>
    <row r="47" spans="1:2" x14ac:dyDescent="0.25">
      <c r="A47" s="3" t="s">
        <v>112</v>
      </c>
      <c r="B47">
        <v>72</v>
      </c>
    </row>
    <row r="48" spans="1:2" x14ac:dyDescent="0.25">
      <c r="A48" s="3" t="s">
        <v>113</v>
      </c>
      <c r="B48">
        <v>70</v>
      </c>
    </row>
    <row r="49" spans="1:2" x14ac:dyDescent="0.25">
      <c r="A49" s="3" t="s">
        <v>34</v>
      </c>
      <c r="B49">
        <v>47</v>
      </c>
    </row>
    <row r="50" spans="1:2" x14ac:dyDescent="0.25">
      <c r="A50" s="3" t="s">
        <v>62</v>
      </c>
      <c r="B50">
        <v>376</v>
      </c>
    </row>
    <row r="51" spans="1:2" x14ac:dyDescent="0.25">
      <c r="A51" s="3" t="s">
        <v>54</v>
      </c>
      <c r="B51">
        <v>239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clan games</vt:lpstr>
      <vt:lpstr>CLAN CAPITAL</vt:lpstr>
      <vt:lpstr>eventi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Utente</cp:lastModifiedBy>
  <dcterms:created xsi:type="dcterms:W3CDTF">2025-11-06T14:05:00Z</dcterms:created>
  <dcterms:modified xsi:type="dcterms:W3CDTF">2025-12-27T15:24:01Z</dcterms:modified>
</cp:coreProperties>
</file>