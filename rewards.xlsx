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E1BB7042-CF37-49EB-9B0A-0DC37209959C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CWL 1" sheetId="1" r:id="rId1"/>
    <sheet name="CWL 2" sheetId="2" r:id="rId2"/>
    <sheet name="CWL 3" sheetId="3" r:id="rId3"/>
    <sheet name="avv" sheetId="4" r:id="rId4"/>
    <sheet name="partecipanti" sheetId="5" r:id="rId5"/>
    <sheet name="wars" sheetId="6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6" l="1"/>
  <c r="E45" i="6"/>
  <c r="F44" i="6"/>
  <c r="E44" i="6"/>
  <c r="F43" i="6"/>
  <c r="E43" i="6"/>
  <c r="F42" i="6"/>
  <c r="E42" i="6"/>
  <c r="F41" i="6"/>
  <c r="E41" i="6"/>
  <c r="F40" i="6"/>
  <c r="E40" i="6"/>
  <c r="F39" i="6"/>
  <c r="E39" i="6"/>
  <c r="F38" i="6"/>
  <c r="E38" i="6"/>
  <c r="F37" i="6"/>
  <c r="E37" i="6"/>
  <c r="F36" i="6"/>
  <c r="E36" i="6"/>
  <c r="F35" i="6"/>
  <c r="E35" i="6"/>
  <c r="F34" i="6"/>
  <c r="E34" i="6"/>
  <c r="F33" i="6"/>
  <c r="E33" i="6"/>
  <c r="F32" i="6"/>
  <c r="E32" i="6"/>
  <c r="F31" i="6"/>
  <c r="E31" i="6"/>
  <c r="F30" i="6"/>
  <c r="E30" i="6"/>
  <c r="F29" i="6"/>
  <c r="E29" i="6"/>
  <c r="F28" i="6"/>
  <c r="E28" i="6"/>
  <c r="F27" i="6"/>
  <c r="E27" i="6"/>
  <c r="F26" i="6"/>
  <c r="E26" i="6"/>
  <c r="F25" i="6"/>
  <c r="E25" i="6"/>
  <c r="F24" i="6"/>
  <c r="E24" i="6"/>
  <c r="F23" i="6"/>
  <c r="E23" i="6"/>
  <c r="F22" i="6"/>
  <c r="E22" i="6"/>
  <c r="F21" i="6"/>
  <c r="E21" i="6"/>
  <c r="F20" i="6"/>
  <c r="E20" i="6"/>
  <c r="F19" i="6"/>
  <c r="E19" i="6"/>
  <c r="F18" i="6"/>
  <c r="E18" i="6"/>
  <c r="F17" i="6"/>
  <c r="E17" i="6"/>
  <c r="F16" i="6"/>
  <c r="E16" i="6"/>
  <c r="F15" i="6"/>
  <c r="E15" i="6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<sst xmlns="http://schemas.openxmlformats.org/spreadsheetml/2006/main" count="482" uniqueCount="226">
  <si>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</si>
  <si>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</si>
  <si>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</si>
  <si>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</si>
  <si>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</si>
  <si>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</si>
  <si>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</si>
  <si>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</si>
  <si>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</si>
  <si>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</si>
  <si>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</si>
  <si>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</si>
  <si>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</si>
  <si>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</si>
  <si>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</si>
  <si>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</si>
  <si>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</si>
  <si>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</si>
  <si>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</si>
  <si>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</si>
  <si>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</si>
  <si>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</si>
  <si>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</si>
  <si>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</si>
  <si>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</si>
  <si>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</si>
  <si>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</si>
  <si>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</si>
  <si>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</si>
  <si>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</si>
  <si>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</si>
  <si>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</si>
  <si>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</si>
  <si>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</si>
  <si>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</si>
  <si>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</si>
  <si>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</si>
  <si>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</si>
  <si>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</si>
  <si>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</si>
  <si>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</si>
  <si>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</si>
  <si>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</si>
  <si>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</si>
  <si>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</si>
  <si>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</si>
  <si>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</si>
  <si>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</si>
  <si>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</si>
  <si>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</si>
  <si>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</si>
  <si>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</si>
  <si>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</si>
  <si>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</si>
  <si>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</si>
  <si>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</si>
  <si>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</si>
  <si>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xbladze</t>
  </si>
  <si>
    <t xml:space="preserve">dado     </t>
  </si>
  <si>
    <t xml:space="preserve">Stentaaa </t>
  </si>
  <si>
    <t xml:space="preserve">BigMc23  </t>
  </si>
  <si>
    <t>GiornoBrando</t>
  </si>
  <si>
    <t>Valh</t>
  </si>
  <si>
    <t>Queen of Shadow</t>
  </si>
  <si>
    <t>Luigi</t>
  </si>
  <si>
    <t>MASCHI</t>
  </si>
  <si>
    <t>¥CATA¥</t>
  </si>
  <si>
    <t>xNullx</t>
  </si>
  <si>
    <t>HikariNoRob</t>
  </si>
  <si>
    <t>gionny</t>
  </si>
  <si>
    <t>Floky23</t>
  </si>
  <si>
    <t>ER DANDI 1927</t>
  </si>
  <si>
    <t>SubOhm</t>
  </si>
  <si>
    <t>Luxor</t>
  </si>
  <si>
    <t>th4nos</t>
  </si>
  <si>
    <t>!!!!!!!</t>
  </si>
  <si>
    <t>maikol_lix</t>
  </si>
  <si>
    <t>Simone</t>
  </si>
  <si>
    <t>sidcujs</t>
  </si>
  <si>
    <t>RobbyCV</t>
  </si>
  <si>
    <t>ajejebrazorf</t>
  </si>
  <si>
    <t>R1cky_boffo</t>
  </si>
  <si>
    <t>Brazo</t>
  </si>
  <si>
    <t>Favij</t>
  </si>
  <si>
    <t>Essenc3_kin4</t>
  </si>
  <si>
    <t>Zine</t>
  </si>
  <si>
    <t>Roberta</t>
  </si>
  <si>
    <t>ggfgd</t>
  </si>
  <si>
    <t>omar</t>
  </si>
  <si>
    <t>NO SONDAGGIO</t>
  </si>
  <si>
    <t>inserito dopo</t>
  </si>
  <si>
    <t>CWL2</t>
  </si>
  <si>
    <t>x</t>
  </si>
  <si>
    <t>GX king</t>
  </si>
  <si>
    <t>Dado</t>
  </si>
  <si>
    <t>Ale22</t>
  </si>
  <si>
    <t>Chabby</t>
  </si>
  <si>
    <t>dela</t>
  </si>
  <si>
    <t>Cleopatra</t>
  </si>
  <si>
    <t>edododo</t>
  </si>
  <si>
    <t>nik</t>
  </si>
  <si>
    <t>Giosan</t>
  </si>
  <si>
    <t>buff x bow</t>
  </si>
  <si>
    <t>christian</t>
  </si>
  <si>
    <t>Leo</t>
  </si>
  <si>
    <t>Giorgio</t>
  </si>
  <si>
    <t>king</t>
  </si>
  <si>
    <t>fabio</t>
  </si>
  <si>
    <t>Loris</t>
  </si>
  <si>
    <t>daniele</t>
  </si>
  <si>
    <t>Omar</t>
  </si>
  <si>
    <t>serra</t>
  </si>
  <si>
    <t>federico99</t>
  </si>
  <si>
    <t>Robby</t>
  </si>
  <si>
    <t>sidcu js</t>
  </si>
  <si>
    <t>lord pucci</t>
  </si>
  <si>
    <t>zine</t>
  </si>
  <si>
    <t>danielpica</t>
  </si>
  <si>
    <t>Staenta</t>
  </si>
  <si>
    <t>loris</t>
  </si>
  <si>
    <t>subohm</t>
  </si>
  <si>
    <t>Xblade</t>
  </si>
  <si>
    <t>xnullx</t>
  </si>
  <si>
    <t>queen of shadow</t>
  </si>
  <si>
    <t>ggfd</t>
  </si>
  <si>
    <t>X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</si>
  <si>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</si>
  <si>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</si>
  <si>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</si>
  <si>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</si>
  <si>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</si>
  <si>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</si>
  <si>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</si>
  <si>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</si>
  <si>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</si>
  <si>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</si>
  <si>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</si>
  <si>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</si>
  <si>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</si>
  <si>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</si>
  <si>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</si>
  <si>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</si>
  <si>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</si>
  <si>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</si>
  <si>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</si>
  <si>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</si>
  <si>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</si>
  <si>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</si>
  <si>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</si>
  <si>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</si>
  <si>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</si>
  <si>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</si>
  <si>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</si>
  <si>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</si>
  <si>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</si>
  <si>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</si>
  <si>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</si>
  <si>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</si>
  <si>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</si>
  <si>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</si>
  <si>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</si>
  <si>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</si>
  <si>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</si>
  <si>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</si>
  <si>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</si>
  <si>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</si>
  <si>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</si>
  <si>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</si>
  <si>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</si>
  <si>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</si>
  <si>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</si>
  <si>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</si>
  <si>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</si>
  <si>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</si>
  <si>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</si>
  <si>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</si>
  <si>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</si>
  <si>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</si>
  <si>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</si>
  <si>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</si>
  <si>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</si>
  <si>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</si>
  <si>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</si>
  <si>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</si>
  <si>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</si>
  <si>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</si>
  <si>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</si>
  <si>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</si>
  <si>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</si>
  <si>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</si>
  <si>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</si>
  <si>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</si>
  <si>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</si>
  <si>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</si>
  <si>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</si>
  <si>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</si>
  <si>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</si>
  <si>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</si>
  <si>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</si>
  <si>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</si>
  <si>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</si>
  <si>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</si>
  <si>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</si>
  <si>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</si>
  <si>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</si>
  <si>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</si>
  <si>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</si>
  <si>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</si>
  <si>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</si>
  <si>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</si>
  <si>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</si>
  <si>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</si>
  <si>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</si>
  <si>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SKIP</t>
  </si>
  <si>
    <t>revolver</t>
  </si>
  <si>
    <t>BigMc23</t>
  </si>
  <si>
    <t>buff x-bow</t>
  </si>
  <si>
    <t>EdoDodo</t>
  </si>
  <si>
    <t>Stentaaa</t>
  </si>
  <si>
    <t>andriu07</t>
  </si>
  <si>
    <t>zordan</t>
  </si>
  <si>
    <t>655321</t>
  </si>
  <si>
    <t>★deimon★</t>
  </si>
  <si>
    <t>Punpie69</t>
  </si>
  <si>
    <t>tazio</t>
  </si>
  <si>
    <t>alhfmfh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</si>
</sst>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</cellXfs>
  <cellStyles count="1">
    <cellStyle name="Normale" xfId="0" builtinId="0"/>
  </cellStyles>
  <dxfs count="8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CI52" totalsRowShown="0" headerRowDxfId="88" dataDxfId="87">
  <autoFilter ref="A1:CI52" xr:uid="{00000000-0009-0000-0100-000001000000}"/>
  <sortState xmlns:xlrd2="http://schemas.microsoft.com/office/spreadsheetml/2017/richdata2" ref="A2:CI52">
    <sortCondition ref="S1:S52"/>
  </sortState>
  <tableColumns count="87">
    <tableColumn id="1" xr3:uid="{00000000-0010-0000-0000-000001000000}" name="NAME" dataDxfId="86"/>
    <tableColumn id="2" xr3:uid="{00000000-0010-0000-0000-000002000000}" name="ATK SKIP" dataDxfId="85"/>
    <tableColumn id="3" xr3:uid="{00000000-0010-0000-0000-000003000000}" name="ZERO WAR  ATK" dataDxfId="84"/>
    <tableColumn id="4" xr3:uid="{00000000-0010-0000-0000-000004000000}" name="TOT WARS" dataDxfId="83"/>
    <tableColumn id="5" xr3:uid="{00000000-0010-0000-0000-000005000000}" name="TOT STARS" dataDxfId="82">
      <calculatedColumnFormula>SUM(G2:M2)</calculatedColumnFormula>
    </tableColumn>
    <tableColumn id="6" xr3:uid="{00000000-0010-0000-0000-000006000000}" name="AVG STAR" dataDxfId="81">
      <calculatedColumnFormula>ROUND(AVERAGE(G2:Z2),1)</calculatedColumnFormula>
    </tableColumn>
    <tableColumn id="7" xr3:uid="{00000000-0010-0000-0000-000007000000}" name="WAR-1 (1)" dataDxfId="80"/>
    <tableColumn id="8" xr3:uid="{00000000-0010-0000-0000-000008000000}" name="WAR-1 (2)" dataDxfId="79"/>
    <tableColumn id="9" xr3:uid="{00000000-0010-0000-0000-000009000000}" name="WAR-2 (1)" dataDxfId="78"/>
    <tableColumn id="10" xr3:uid="{00000000-0010-0000-0000-00000A000000}" name="WAR-2 (2)" dataDxfId="77"/>
    <tableColumn id="11" xr3:uid="{00000000-0010-0000-0000-00000B000000}" name="WAR-3 (1)" dataDxfId="76"/>
    <tableColumn id="12" xr3:uid="{00000000-0010-0000-0000-00000C000000}" name="WAR-3 (2)" dataDxfId="75"/>
    <tableColumn id="13" xr3:uid="{00000000-0010-0000-0000-00000D000000}" name="WAR-4 (1)" dataDxfId="74"/>
    <tableColumn id="14" xr3:uid="{00000000-0010-0000-0000-00000E000000}" name="WAR-4 (2)" dataDxfId="73"/>
    <tableColumn id="15" xr3:uid="{00000000-0010-0000-0000-00000F000000}" name="WAR-5 (1)" dataDxfId="72"/>
    <tableColumn id="16" xr3:uid="{00000000-0010-0000-0000-000010000000}" name="WAR-5 (2)" dataDxfId="71"/>
    <tableColumn id="17" xr3:uid="{00000000-0010-0000-0000-000011000000}" name="WAR-6 (1)" dataDxfId="70"/>
    <tableColumn id="18" xr3:uid="{00000000-0010-0000-0000-000012000000}" name="WAR-6 (2)" dataDxfId="69"/>
    <tableColumn id="19" xr3:uid="{00000000-0010-0000-0000-000013000000}" name="WAR-7 (1)" dataDxfId="68"/>
    <tableColumn id="20" xr3:uid="{00000000-0010-0000-0000-000014000000}" name="WAR-7 (2)" dataDxfId="67"/>
    <tableColumn id="21" xr3:uid="{00000000-0010-0000-0000-000015000000}" name="Colonna21" dataDxfId="66"/>
    <tableColumn id="22" xr3:uid="{00000000-0010-0000-0000-000016000000}" name="Colonna22" dataDxfId="65"/>
    <tableColumn id="23" xr3:uid="{00000000-0010-0000-0000-000017000000}" name="Colonna23" dataDxfId="64"/>
    <tableColumn id="24" xr3:uid="{00000000-0010-0000-0000-000018000000}" name="Colonna24" dataDxfId="63"/>
    <tableColumn id="25" xr3:uid="{00000000-0010-0000-0000-000019000000}" name="Colonna25" dataDxfId="62"/>
    <tableColumn id="26" xr3:uid="{00000000-0010-0000-0000-00001A000000}" name="Colonna26" dataDxfId="61"/>
    <tableColumn id="27" xr3:uid="{00000000-0010-0000-0000-00001B000000}" name="Colonna27" dataDxfId="60"/>
    <tableColumn id="28" xr3:uid="{00000000-0010-0000-0000-00001C000000}" name="Colonna28" dataDxfId="59"/>
    <tableColumn id="29" xr3:uid="{00000000-0010-0000-0000-00001D000000}" name="Colonna29" dataDxfId="58"/>
    <tableColumn id="30" xr3:uid="{00000000-0010-0000-0000-00001E000000}" name="Colonna30" dataDxfId="57"/>
    <tableColumn id="31" xr3:uid="{00000000-0010-0000-0000-00001F000000}" name="Colonna31" dataDxfId="56"/>
    <tableColumn id="32" xr3:uid="{00000000-0010-0000-0000-000020000000}" name="Colonna32" dataDxfId="55"/>
    <tableColumn id="33" xr3:uid="{00000000-0010-0000-0000-000021000000}" name="Colonna33" dataDxfId="54"/>
    <tableColumn id="34" xr3:uid="{00000000-0010-0000-0000-000022000000}" name="Colonna34" dataDxfId="53"/>
    <tableColumn id="35" xr3:uid="{00000000-0010-0000-0000-000023000000}" name="Colonna35" dataDxfId="52"/>
    <tableColumn id="36" xr3:uid="{00000000-0010-0000-0000-000024000000}" name="Colonna36" dataDxfId="51"/>
    <tableColumn id="37" xr3:uid="{00000000-0010-0000-0000-000025000000}" name="Colonna37" dataDxfId="50"/>
    <tableColumn id="38" xr3:uid="{00000000-0010-0000-0000-000026000000}" name="Colonna38" dataDxfId="49"/>
    <tableColumn id="39" xr3:uid="{00000000-0010-0000-0000-000027000000}" name="Colonna39" dataDxfId="48"/>
    <tableColumn id="40" xr3:uid="{00000000-0010-0000-0000-000028000000}" name="Colonna40" dataDxfId="47"/>
    <tableColumn id="41" xr3:uid="{00000000-0010-0000-0000-000029000000}" name="Colonna41" dataDxfId="46"/>
    <tableColumn id="42" xr3:uid="{00000000-0010-0000-0000-00002A000000}" name="Colonna42" dataDxfId="45"/>
    <tableColumn id="43" xr3:uid="{00000000-0010-0000-0000-00002B000000}" name="Colonna43" dataDxfId="44"/>
    <tableColumn id="44" xr3:uid="{00000000-0010-0000-0000-00002C000000}" name="Colonna44" dataDxfId="43"/>
    <tableColumn id="45" xr3:uid="{00000000-0010-0000-0000-00002D000000}" name="Colonna45" dataDxfId="42"/>
    <tableColumn id="46" xr3:uid="{00000000-0010-0000-0000-00002E000000}" name="Colonna46" dataDxfId="41"/>
    <tableColumn id="47" xr3:uid="{00000000-0010-0000-0000-00002F000000}" name="Colonna47" dataDxfId="40"/>
    <tableColumn id="48" xr3:uid="{00000000-0010-0000-0000-000030000000}" name="Colonna48" dataDxfId="39"/>
    <tableColumn id="49" xr3:uid="{00000000-0010-0000-0000-000031000000}" name="Colonna49" dataDxfId="38"/>
    <tableColumn id="50" xr3:uid="{00000000-0010-0000-0000-000032000000}" name="Colonna50" dataDxfId="37"/>
    <tableColumn id="51" xr3:uid="{00000000-0010-0000-0000-000033000000}" name="Colonna51" dataDxfId="36"/>
    <tableColumn id="52" xr3:uid="{00000000-0010-0000-0000-000034000000}" name="Colonna52" dataDxfId="35"/>
    <tableColumn id="53" xr3:uid="{00000000-0010-0000-0000-000035000000}" name="Colonna53" dataDxfId="34"/>
    <tableColumn id="54" xr3:uid="{00000000-0010-0000-0000-000036000000}" name="Colonna54" dataDxfId="33"/>
    <tableColumn id="55" xr3:uid="{00000000-0010-0000-0000-000037000000}" name="Colonna55" dataDxfId="32"/>
    <tableColumn id="56" xr3:uid="{00000000-0010-0000-0000-000038000000}" name="Colonna56" dataDxfId="31"/>
    <tableColumn id="57" xr3:uid="{00000000-0010-0000-0000-000039000000}" name="Colonna57" dataDxfId="30"/>
    <tableColumn id="58" xr3:uid="{00000000-0010-0000-0000-00003A000000}" name="Colonna58" dataDxfId="29"/>
    <tableColumn id="59" xr3:uid="{00000000-0010-0000-0000-00003B000000}" name="Colonna59" dataDxfId="28"/>
    <tableColumn id="60" xr3:uid="{00000000-0010-0000-0000-00003C000000}" name="Colonna60" dataDxfId="27"/>
    <tableColumn id="61" xr3:uid="{00000000-0010-0000-0000-00003D000000}" name="Colonna61" dataDxfId="26"/>
    <tableColumn id="62" xr3:uid="{00000000-0010-0000-0000-00003E000000}" name="Colonna62" dataDxfId="25"/>
    <tableColumn id="63" xr3:uid="{00000000-0010-0000-0000-00003F000000}" name="Colonna63" dataDxfId="24"/>
    <tableColumn id="64" xr3:uid="{00000000-0010-0000-0000-000040000000}" name="Colonna64" dataDxfId="23"/>
    <tableColumn id="65" xr3:uid="{00000000-0010-0000-0000-000041000000}" name="Colonna65" dataDxfId="22"/>
    <tableColumn id="66" xr3:uid="{00000000-0010-0000-0000-000042000000}" name="Colonna66" dataDxfId="21"/>
    <tableColumn id="67" xr3:uid="{00000000-0010-0000-0000-000043000000}" name="Colonna67" dataDxfId="20"/>
    <tableColumn id="68" xr3:uid="{00000000-0010-0000-0000-000044000000}" name="Colonna68" dataDxfId="19"/>
    <tableColumn id="69" xr3:uid="{00000000-0010-0000-0000-000045000000}" name="Colonna69" dataDxfId="18"/>
    <tableColumn id="70" xr3:uid="{00000000-0010-0000-0000-000046000000}" name="Colonna70" dataDxfId="17"/>
    <tableColumn id="71" xr3:uid="{00000000-0010-0000-0000-000047000000}" name="Colonna71" dataDxfId="16"/>
    <tableColumn id="72" xr3:uid="{00000000-0010-0000-0000-000048000000}" name="Colonna72" dataDxfId="15"/>
    <tableColumn id="73" xr3:uid="{00000000-0010-0000-0000-000049000000}" name="Colonna73" dataDxfId="14"/>
    <tableColumn id="74" xr3:uid="{00000000-0010-0000-0000-00004A000000}" name="Colonna74" dataDxfId="13"/>
    <tableColumn id="75" xr3:uid="{00000000-0010-0000-0000-00004B000000}" name="Colonna75" dataDxfId="12"/>
    <tableColumn id="76" xr3:uid="{00000000-0010-0000-0000-00004C000000}" name="Colonna76" dataDxfId="11"/>
    <tableColumn id="77" xr3:uid="{00000000-0010-0000-0000-00004D000000}" name="Colonna77" dataDxfId="10"/>
    <tableColumn id="78" xr3:uid="{00000000-0010-0000-0000-00004E000000}" name="Colonna78" dataDxfId="9"/>
    <tableColumn id="79" xr3:uid="{00000000-0010-0000-0000-00004F000000}" name="Colonna79" dataDxfId="8"/>
    <tableColumn id="80" xr3:uid="{00000000-0010-0000-0000-000050000000}" name="Colonna80" dataDxfId="7"/>
    <tableColumn id="81" xr3:uid="{00000000-0010-0000-0000-000051000000}" name="Colonna81" dataDxfId="6"/>
    <tableColumn id="82" xr3:uid="{00000000-0010-0000-0000-000052000000}" name="Colonna82" dataDxfId="5"/>
    <tableColumn id="83" xr3:uid="{00000000-0010-0000-0000-000053000000}" name="Colonna83" dataDxfId="4"/>
    <tableColumn id="84" xr3:uid="{00000000-0010-0000-0000-000054000000}" name="Colonna84" dataDxfId="3"/>
    <tableColumn id="85" xr3:uid="{00000000-0010-0000-0000-000055000000}" name="Colonna85" dataDxfId="2"/>
    <tableColumn id="86" xr3:uid="{00000000-0010-0000-0000-000056000000}" name="Colonna86" dataDxfId="1"/>
    <tableColumn id="87" xr3:uid="{00000000-0010-0000-0000-000057000000}" name="Colonna87" dataDxfId="0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2" width="9.140625" style="4" customWidth="1"/>
    <col min="33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6" width="9.140625" style="39" customWidth="1"/>
    <col min="27" max="16384" width="9.140625" style="39"/>
  </cols>
  <sheetData>
    <row r="1" spans="1:23" ht="15.75" customHeight="1" thickBot="1" x14ac:dyDescent="0.3">
      <c r="B1" s="61"/>
      <c r="C1" s="111">
        <v>1</v>
      </c>
      <c r="D1" s="112"/>
      <c r="E1" s="113"/>
      <c r="F1" s="111">
        <v>2</v>
      </c>
      <c r="G1" s="112"/>
      <c r="H1" s="113"/>
      <c r="I1" s="111">
        <v>3</v>
      </c>
      <c r="J1" s="112"/>
      <c r="K1" s="113"/>
      <c r="L1" s="111">
        <v>4</v>
      </c>
      <c r="M1" s="112"/>
      <c r="N1" s="113"/>
      <c r="O1" s="111">
        <v>5</v>
      </c>
      <c r="P1" s="112"/>
      <c r="Q1" s="113"/>
      <c r="R1" s="111">
        <v>6</v>
      </c>
      <c r="S1" s="112"/>
      <c r="T1" s="113"/>
      <c r="U1" s="111">
        <v>7</v>
      </c>
      <c r="V1" s="112"/>
      <c r="W1" s="113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workbookViewId="0">
      <selection activeCell="B11" sqref="B11"/>
    </sheetView>
  </sheetViews>
  <sheetFormatPr defaultRowHeight="15" outlineLevelCol="1" x14ac:dyDescent="0.25"/>
  <cols>
    <col min="2" max="2" width="18.7109375" style="97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11">
        <v>1</v>
      </c>
      <c r="D1" s="112"/>
      <c r="E1" s="113"/>
      <c r="F1" s="111">
        <v>2</v>
      </c>
      <c r="G1" s="112"/>
      <c r="H1" s="113"/>
      <c r="I1" s="111">
        <v>3</v>
      </c>
      <c r="J1" s="112"/>
      <c r="K1" s="113"/>
      <c r="L1" s="111">
        <v>4</v>
      </c>
      <c r="M1" s="112"/>
      <c r="N1" s="113"/>
      <c r="O1" s="111">
        <v>5</v>
      </c>
      <c r="P1" s="112"/>
      <c r="Q1" s="113"/>
      <c r="R1" s="111">
        <v>6</v>
      </c>
      <c r="S1" s="112"/>
      <c r="T1" s="113"/>
      <c r="U1" s="111">
        <v>7</v>
      </c>
      <c r="V1" s="112"/>
      <c r="W1" s="113"/>
    </row>
    <row r="2" spans="1:23" ht="15.75" customHeight="1" thickBot="1" x14ac:dyDescent="0.3">
      <c r="A2" s="36"/>
      <c r="B2" s="94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8" t="s">
        <v>57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8" t="s">
        <v>58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5" t="s">
        <v>59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8" t="s">
        <v>60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9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5" t="s">
        <v>61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8" t="s">
        <v>62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5" t="s">
        <v>63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5" t="s">
        <v>64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101" t="s">
        <v>65</v>
      </c>
      <c r="C12" s="103"/>
      <c r="D12" s="103"/>
      <c r="E12" s="104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6" t="s">
        <v>66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10"/>
      <c r="M13" s="103"/>
      <c r="N13" s="104"/>
      <c r="O13" s="110"/>
      <c r="P13" s="103"/>
      <c r="Q13" s="104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9" t="s">
        <v>67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9" t="s">
        <v>68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8" t="s">
        <v>13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8" t="s">
        <v>69</v>
      </c>
      <c r="C17" s="39"/>
      <c r="D17" s="39">
        <v>-1</v>
      </c>
      <c r="E17" s="41">
        <v>3</v>
      </c>
      <c r="F17" s="40"/>
      <c r="G17" s="100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8" t="s">
        <v>20</v>
      </c>
      <c r="C18" s="39"/>
      <c r="D18" s="100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8" t="s">
        <v>70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100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8" t="s">
        <v>16</v>
      </c>
      <c r="C20" s="39"/>
      <c r="D20" s="39">
        <v>0</v>
      </c>
      <c r="E20" s="41">
        <v>3</v>
      </c>
      <c r="F20" s="87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101" t="s">
        <v>71</v>
      </c>
      <c r="C21" s="103"/>
      <c r="D21" s="103"/>
      <c r="E21" s="104"/>
      <c r="F21" s="103"/>
      <c r="G21" s="103"/>
      <c r="H21" s="103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5" t="s">
        <v>22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8" t="s">
        <v>45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100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8" t="s">
        <v>72</v>
      </c>
      <c r="C24" s="39"/>
      <c r="D24" s="100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8" t="s">
        <v>73</v>
      </c>
      <c r="C25" s="39"/>
      <c r="D25" s="100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5" t="s">
        <v>74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8" t="s">
        <v>47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100">
        <v>0</v>
      </c>
      <c r="N27" s="41">
        <v>2</v>
      </c>
      <c r="O27" s="40"/>
      <c r="P27" s="39">
        <v>0</v>
      </c>
      <c r="Q27" s="41">
        <v>2</v>
      </c>
      <c r="R27" s="40" t="s">
        <v>75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5" t="s">
        <v>76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8" t="s">
        <v>77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100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101" t="s">
        <v>78</v>
      </c>
      <c r="C30" s="103"/>
      <c r="D30" s="103"/>
      <c r="E30" s="104"/>
      <c r="F30" s="103"/>
      <c r="G30" s="103"/>
      <c r="H30" s="103"/>
      <c r="I30" s="103"/>
      <c r="J30" s="103"/>
      <c r="K30" s="103"/>
      <c r="L30" s="103"/>
      <c r="M30" s="103"/>
      <c r="N30" s="103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8" t="s">
        <v>79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8" t="s">
        <v>80</v>
      </c>
      <c r="C32" s="39"/>
      <c r="D32" s="100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101" t="s">
        <v>81</v>
      </c>
      <c r="C35" s="103"/>
      <c r="D35" s="103"/>
      <c r="E35" s="104"/>
      <c r="F35" s="103"/>
      <c r="G35" s="103"/>
      <c r="H35" s="103"/>
      <c r="I35" s="103"/>
      <c r="J35" s="103"/>
      <c r="K35" s="103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101" t="s">
        <v>82</v>
      </c>
      <c r="C36" s="103"/>
      <c r="D36" s="103"/>
      <c r="E36" s="104"/>
      <c r="F36" s="103"/>
      <c r="G36" s="103"/>
      <c r="H36" s="103"/>
      <c r="I36" s="103"/>
      <c r="J36" s="103"/>
      <c r="K36" s="103"/>
      <c r="L36" s="103"/>
      <c r="M36" s="103"/>
      <c r="N36" s="103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101" t="s">
        <v>83</v>
      </c>
      <c r="C37" s="103"/>
      <c r="D37" s="103"/>
      <c r="E37" s="104"/>
      <c r="F37" s="103"/>
      <c r="G37" s="103"/>
      <c r="H37" s="103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101" t="s">
        <v>84</v>
      </c>
      <c r="C38" s="103"/>
      <c r="D38" s="103"/>
      <c r="E38" s="104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101" t="s">
        <v>85</v>
      </c>
      <c r="C39" s="103"/>
      <c r="D39" s="103"/>
      <c r="E39" s="104"/>
      <c r="F39" s="103"/>
      <c r="G39" s="103"/>
      <c r="H39" s="103"/>
      <c r="I39" s="103"/>
      <c r="J39" s="103"/>
      <c r="K39" s="103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7" t="s">
        <v>86</v>
      </c>
      <c r="C40" s="103"/>
      <c r="D40" s="103"/>
      <c r="E40" s="104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8" t="s">
        <v>87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8" t="s">
        <v>43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9" t="s">
        <v>88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8"/>
      <c r="B45" s="96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9"/>
      <c r="B46" s="96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90"/>
      <c r="B47" s="96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91"/>
      <c r="B48" s="96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92"/>
      <c r="B49" s="96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93"/>
      <c r="B50" s="96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102"/>
      <c r="B51" s="96" t="s">
        <v>89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5"/>
      <c r="B52" s="96" t="s">
        <v>90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3" width="9.140625" style="68" customWidth="1"/>
    <col min="4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14" t="s">
        <v>91</v>
      </c>
      <c r="B32" s="112"/>
      <c r="C32" s="112"/>
      <c r="D32" s="112"/>
      <c r="E32" s="112"/>
      <c r="F32" s="112"/>
      <c r="G32" s="112"/>
      <c r="H32" s="113"/>
    </row>
  </sheetData>
  <mergeCells count="1">
    <mergeCell ref="A32:H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49"/>
  <sheetViews>
    <sheetView topLeftCell="E1" workbookViewId="0">
      <selection activeCell="W6" sqref="W6"/>
    </sheetView>
  </sheetViews>
  <sheetFormatPr defaultRowHeight="15" x14ac:dyDescent="0.25"/>
  <sheetData>
    <row r="1" spans="1:24" x14ac:dyDescent="0.25">
      <c r="A1">
        <v>16</v>
      </c>
      <c r="B1" t="s">
        <v>4</v>
      </c>
      <c r="R1" t="s">
        <v>92</v>
      </c>
      <c r="S1" t="s">
        <v>80</v>
      </c>
      <c r="X1" s="79" t="s">
        <v>93</v>
      </c>
    </row>
    <row r="2" spans="1:24" x14ac:dyDescent="0.25">
      <c r="A2">
        <v>15</v>
      </c>
      <c r="B2" t="s">
        <v>41</v>
      </c>
      <c r="R2" t="s">
        <v>92</v>
      </c>
      <c r="S2" t="s">
        <v>7</v>
      </c>
      <c r="X2" t="s">
        <v>44</v>
      </c>
    </row>
    <row r="3" spans="1:24" x14ac:dyDescent="0.25">
      <c r="A3">
        <v>15</v>
      </c>
      <c r="B3" t="s">
        <v>6</v>
      </c>
      <c r="I3">
        <v>13</v>
      </c>
      <c r="J3" t="s">
        <v>8</v>
      </c>
      <c r="R3" t="s">
        <v>92</v>
      </c>
      <c r="S3" t="s">
        <v>94</v>
      </c>
      <c r="W3" s="85" t="s">
        <v>82</v>
      </c>
      <c r="X3" s="79" t="s">
        <v>95</v>
      </c>
    </row>
    <row r="4" spans="1:24" x14ac:dyDescent="0.25">
      <c r="A4">
        <v>13</v>
      </c>
      <c r="B4" t="s">
        <v>10</v>
      </c>
      <c r="E4" t="s">
        <v>76</v>
      </c>
      <c r="I4">
        <v>13</v>
      </c>
      <c r="J4" t="s">
        <v>69</v>
      </c>
      <c r="R4" t="s">
        <v>92</v>
      </c>
      <c r="S4" t="s">
        <v>27</v>
      </c>
      <c r="W4" s="79" t="s">
        <v>96</v>
      </c>
    </row>
    <row r="5" spans="1:24" x14ac:dyDescent="0.25">
      <c r="A5">
        <v>13</v>
      </c>
      <c r="B5" t="s">
        <v>12</v>
      </c>
      <c r="E5" t="s">
        <v>80</v>
      </c>
      <c r="I5">
        <v>13</v>
      </c>
      <c r="J5" t="s">
        <v>97</v>
      </c>
      <c r="R5" t="s">
        <v>92</v>
      </c>
      <c r="S5" t="s">
        <v>61</v>
      </c>
      <c r="W5" s="85" t="s">
        <v>98</v>
      </c>
    </row>
    <row r="6" spans="1:24" x14ac:dyDescent="0.25">
      <c r="A6">
        <v>13</v>
      </c>
      <c r="B6" t="s">
        <v>42</v>
      </c>
      <c r="E6" t="s">
        <v>99</v>
      </c>
      <c r="I6">
        <v>12</v>
      </c>
      <c r="J6" t="s">
        <v>100</v>
      </c>
      <c r="R6" t="s">
        <v>92</v>
      </c>
      <c r="S6" t="s">
        <v>101</v>
      </c>
      <c r="W6" s="85" t="s">
        <v>71</v>
      </c>
    </row>
    <row r="7" spans="1:24" x14ac:dyDescent="0.25">
      <c r="A7">
        <v>13</v>
      </c>
      <c r="B7" t="s">
        <v>7</v>
      </c>
      <c r="I7">
        <v>12</v>
      </c>
      <c r="J7" t="s">
        <v>102</v>
      </c>
      <c r="R7" t="s">
        <v>92</v>
      </c>
      <c r="S7" t="s">
        <v>16</v>
      </c>
      <c r="W7" s="85" t="s">
        <v>84</v>
      </c>
    </row>
    <row r="8" spans="1:24" x14ac:dyDescent="0.25">
      <c r="A8">
        <v>13</v>
      </c>
      <c r="B8" t="s">
        <v>18</v>
      </c>
      <c r="R8" t="s">
        <v>92</v>
      </c>
      <c r="S8" t="s">
        <v>17</v>
      </c>
      <c r="W8" s="79" t="s">
        <v>83</v>
      </c>
    </row>
    <row r="9" spans="1:24" x14ac:dyDescent="0.25">
      <c r="A9">
        <v>13</v>
      </c>
      <c r="B9" t="s">
        <v>52</v>
      </c>
      <c r="I9">
        <v>12</v>
      </c>
      <c r="J9" t="s">
        <v>103</v>
      </c>
      <c r="R9" t="s">
        <v>92</v>
      </c>
      <c r="S9" t="s">
        <v>104</v>
      </c>
      <c r="W9" s="79" t="s">
        <v>69</v>
      </c>
    </row>
    <row r="10" spans="1:24" x14ac:dyDescent="0.25">
      <c r="A10">
        <v>13</v>
      </c>
      <c r="B10" t="s">
        <v>11</v>
      </c>
      <c r="R10" t="s">
        <v>92</v>
      </c>
      <c r="S10" t="s">
        <v>64</v>
      </c>
      <c r="W10" s="79" t="s">
        <v>105</v>
      </c>
    </row>
    <row r="11" spans="1:24" x14ac:dyDescent="0.25">
      <c r="A11">
        <v>13</v>
      </c>
      <c r="B11" t="s">
        <v>20</v>
      </c>
      <c r="I11">
        <v>12</v>
      </c>
      <c r="J11" t="s">
        <v>23</v>
      </c>
      <c r="R11" t="s">
        <v>92</v>
      </c>
      <c r="S11" t="s">
        <v>73</v>
      </c>
      <c r="W11" s="85" t="s">
        <v>106</v>
      </c>
    </row>
    <row r="12" spans="1:24" x14ac:dyDescent="0.25">
      <c r="A12">
        <v>12</v>
      </c>
      <c r="B12" t="s">
        <v>45</v>
      </c>
      <c r="I12">
        <v>12</v>
      </c>
      <c r="J12" t="s">
        <v>107</v>
      </c>
      <c r="R12" t="s">
        <v>92</v>
      </c>
      <c r="S12" t="s">
        <v>76</v>
      </c>
      <c r="W12" s="85" t="s">
        <v>108</v>
      </c>
    </row>
    <row r="13" spans="1:24" x14ac:dyDescent="0.25">
      <c r="A13">
        <v>12</v>
      </c>
      <c r="B13" t="s">
        <v>47</v>
      </c>
      <c r="I13">
        <v>12</v>
      </c>
      <c r="J13" t="s">
        <v>109</v>
      </c>
      <c r="R13" t="s">
        <v>92</v>
      </c>
      <c r="S13" t="s">
        <v>110</v>
      </c>
      <c r="W13" s="79" t="s">
        <v>41</v>
      </c>
    </row>
    <row r="14" spans="1:24" x14ac:dyDescent="0.25">
      <c r="A14">
        <v>12</v>
      </c>
      <c r="B14" t="s">
        <v>27</v>
      </c>
      <c r="I14">
        <v>12</v>
      </c>
      <c r="J14" t="s">
        <v>19</v>
      </c>
      <c r="R14" t="s">
        <v>92</v>
      </c>
      <c r="S14" t="s">
        <v>10</v>
      </c>
      <c r="W14" s="85" t="s">
        <v>65</v>
      </c>
    </row>
    <row r="15" spans="1:24" x14ac:dyDescent="0.25">
      <c r="A15">
        <v>12</v>
      </c>
      <c r="B15" t="s">
        <v>111</v>
      </c>
      <c r="I15">
        <v>12</v>
      </c>
      <c r="J15" t="s">
        <v>112</v>
      </c>
      <c r="R15" t="s">
        <v>92</v>
      </c>
      <c r="S15" t="s">
        <v>45</v>
      </c>
      <c r="W15" s="85" t="s">
        <v>86</v>
      </c>
    </row>
    <row r="16" spans="1:24" x14ac:dyDescent="0.25">
      <c r="A16">
        <v>12</v>
      </c>
      <c r="B16" t="s">
        <v>14</v>
      </c>
      <c r="R16" t="s">
        <v>92</v>
      </c>
      <c r="S16" t="s">
        <v>113</v>
      </c>
      <c r="W16" s="79" t="s">
        <v>114</v>
      </c>
    </row>
    <row r="17" spans="1:23" x14ac:dyDescent="0.25">
      <c r="A17">
        <v>12</v>
      </c>
      <c r="B17" t="s">
        <v>13</v>
      </c>
      <c r="I17">
        <v>12</v>
      </c>
      <c r="J17" t="s">
        <v>115</v>
      </c>
      <c r="R17" t="s">
        <v>92</v>
      </c>
      <c r="S17" t="s">
        <v>22</v>
      </c>
      <c r="W17" s="85" t="s">
        <v>116</v>
      </c>
    </row>
    <row r="18" spans="1:23" x14ac:dyDescent="0.25">
      <c r="A18">
        <v>12</v>
      </c>
      <c r="B18" t="s">
        <v>46</v>
      </c>
      <c r="I18">
        <v>11</v>
      </c>
      <c r="J18" t="s">
        <v>29</v>
      </c>
      <c r="R18" t="s">
        <v>92</v>
      </c>
      <c r="S18" t="s">
        <v>77</v>
      </c>
      <c r="W18" s="79" t="s">
        <v>117</v>
      </c>
    </row>
    <row r="19" spans="1:23" x14ac:dyDescent="0.25">
      <c r="A19">
        <v>12</v>
      </c>
      <c r="B19" t="s">
        <v>17</v>
      </c>
      <c r="I19">
        <v>11</v>
      </c>
      <c r="J19" t="s">
        <v>34</v>
      </c>
      <c r="R19" t="s">
        <v>92</v>
      </c>
      <c r="S19" t="s">
        <v>118</v>
      </c>
      <c r="W19" s="85" t="s">
        <v>119</v>
      </c>
    </row>
    <row r="20" spans="1:23" x14ac:dyDescent="0.25">
      <c r="A20">
        <v>12</v>
      </c>
      <c r="B20" t="s">
        <v>43</v>
      </c>
      <c r="R20" t="s">
        <v>92</v>
      </c>
      <c r="S20" t="s">
        <v>120</v>
      </c>
      <c r="W20" s="79"/>
    </row>
    <row r="21" spans="1:23" x14ac:dyDescent="0.25">
      <c r="A21">
        <v>12</v>
      </c>
      <c r="B21" t="s">
        <v>50</v>
      </c>
      <c r="R21" t="s">
        <v>92</v>
      </c>
      <c r="S21" t="s">
        <v>32</v>
      </c>
      <c r="W21" s="85"/>
    </row>
    <row r="22" spans="1:23" x14ac:dyDescent="0.25">
      <c r="A22">
        <v>12</v>
      </c>
      <c r="B22" t="s">
        <v>53</v>
      </c>
      <c r="R22" t="s">
        <v>92</v>
      </c>
      <c r="S22" t="s">
        <v>62</v>
      </c>
      <c r="W22" s="79"/>
    </row>
    <row r="23" spans="1:23" x14ac:dyDescent="0.25">
      <c r="A23">
        <v>12</v>
      </c>
      <c r="B23" t="s">
        <v>48</v>
      </c>
      <c r="R23" t="s">
        <v>92</v>
      </c>
      <c r="S23" t="s">
        <v>121</v>
      </c>
      <c r="W23" s="79"/>
    </row>
    <row r="24" spans="1:23" x14ac:dyDescent="0.25">
      <c r="A24">
        <v>12</v>
      </c>
      <c r="B24" t="s">
        <v>36</v>
      </c>
      <c r="R24" t="s">
        <v>92</v>
      </c>
      <c r="S24" t="s">
        <v>122</v>
      </c>
      <c r="W24" s="79"/>
    </row>
    <row r="25" spans="1:23" x14ac:dyDescent="0.25">
      <c r="A25">
        <v>12</v>
      </c>
      <c r="B25" t="s">
        <v>32</v>
      </c>
      <c r="R25" t="s">
        <v>92</v>
      </c>
      <c r="S25" t="s">
        <v>43</v>
      </c>
      <c r="W25" s="85"/>
    </row>
    <row r="26" spans="1:23" x14ac:dyDescent="0.25">
      <c r="A26">
        <v>12</v>
      </c>
      <c r="B26" t="s">
        <v>28</v>
      </c>
      <c r="R26" t="s">
        <v>92</v>
      </c>
      <c r="S26" t="s">
        <v>123</v>
      </c>
      <c r="W26" s="85"/>
    </row>
    <row r="27" spans="1:23" x14ac:dyDescent="0.25">
      <c r="A27">
        <v>12</v>
      </c>
      <c r="B27" t="s">
        <v>51</v>
      </c>
      <c r="R27" t="s">
        <v>92</v>
      </c>
      <c r="S27" t="s">
        <v>47</v>
      </c>
      <c r="W27" s="85"/>
    </row>
    <row r="28" spans="1:23" x14ac:dyDescent="0.25">
      <c r="A28">
        <v>12</v>
      </c>
      <c r="B28" t="s">
        <v>16</v>
      </c>
      <c r="R28" t="s">
        <v>92</v>
      </c>
      <c r="S28" t="s">
        <v>124</v>
      </c>
      <c r="W28" s="85"/>
    </row>
    <row r="29" spans="1:23" x14ac:dyDescent="0.25">
      <c r="A29">
        <v>12</v>
      </c>
      <c r="B29" t="s">
        <v>24</v>
      </c>
      <c r="R29" t="s">
        <v>125</v>
      </c>
      <c r="S29" s="85" t="s">
        <v>66</v>
      </c>
      <c r="W29" s="79"/>
    </row>
    <row r="30" spans="1:23" x14ac:dyDescent="0.25">
      <c r="W30" s="79"/>
    </row>
    <row r="31" spans="1:23" x14ac:dyDescent="0.25">
      <c r="W31" s="79"/>
    </row>
    <row r="32" spans="1:23" x14ac:dyDescent="0.25">
      <c r="W32" s="85"/>
    </row>
    <row r="33" spans="23:23" x14ac:dyDescent="0.25">
      <c r="W33" s="85"/>
    </row>
    <row r="34" spans="23:23" x14ac:dyDescent="0.25">
      <c r="W34" s="79"/>
    </row>
    <row r="35" spans="23:23" x14ac:dyDescent="0.25">
      <c r="W35" s="85"/>
    </row>
    <row r="36" spans="23:23" x14ac:dyDescent="0.25">
      <c r="W36" s="79"/>
    </row>
    <row r="37" spans="23:23" x14ac:dyDescent="0.25">
      <c r="W37" s="79"/>
    </row>
    <row r="38" spans="23:23" x14ac:dyDescent="0.25">
      <c r="W38" s="85"/>
    </row>
    <row r="39" spans="23:23" x14ac:dyDescent="0.25">
      <c r="W39" s="79"/>
    </row>
    <row r="40" spans="23:23" x14ac:dyDescent="0.25">
      <c r="W40" s="79"/>
    </row>
    <row r="41" spans="23:23" x14ac:dyDescent="0.25">
      <c r="W41" s="85"/>
    </row>
    <row r="42" spans="23:23" x14ac:dyDescent="0.25">
      <c r="W42" s="79"/>
    </row>
    <row r="43" spans="23:23" x14ac:dyDescent="0.25">
      <c r="W43" s="85"/>
    </row>
    <row r="44" spans="23:23" x14ac:dyDescent="0.25">
      <c r="W44" s="79"/>
    </row>
    <row r="45" spans="23:23" x14ac:dyDescent="0.25">
      <c r="W45" s="85"/>
    </row>
    <row r="46" spans="23:23" x14ac:dyDescent="0.25">
      <c r="W46" s="85"/>
    </row>
    <row r="47" spans="23:23" x14ac:dyDescent="0.25">
      <c r="W47" s="79"/>
    </row>
    <row r="48" spans="23:23" x14ac:dyDescent="0.25">
      <c r="W48" s="85"/>
    </row>
    <row r="49" spans="23:23" ht="15.75" customHeight="1" thickBot="1" x14ac:dyDescent="0.3">
      <c r="W49" s="8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I45"/>
  <sheetViews>
    <sheetView tabSelected="1" workbookViewId="0">
      <selection activeCell="E2" sqref="E2"/>
    </sheetView>
  </sheetViews>
  <sheetFormatPr defaultColWidth="9.140625" defaultRowHeight="15" x14ac:dyDescent="0.25"/>
  <cols>
    <col min="1" max="1" width="16.42578125" style="79" customWidth="1"/>
    <col min="2" max="2" width="11.5703125" style="83" customWidth="1"/>
    <col min="3" max="3" width="15.140625" style="84" customWidth="1"/>
    <col min="4" max="4" width="13.42578125" style="83" customWidth="1"/>
    <col min="5" max="5" width="13.28515625" style="68" customWidth="1"/>
    <col min="6" max="6" width="11.5703125" style="84" customWidth="1"/>
    <col min="7" max="7" width="11.5703125" style="83" customWidth="1"/>
    <col min="8" max="8" width="11.5703125" style="84" customWidth="1"/>
    <col min="9" max="9" width="11.5703125" style="83" customWidth="1"/>
    <col min="10" max="10" width="12.5703125" style="84" customWidth="1"/>
    <col min="11" max="11" width="12.5703125" style="83" customWidth="1"/>
    <col min="12" max="12" width="12.5703125" style="84" customWidth="1"/>
    <col min="13" max="13" width="12.5703125" style="83" customWidth="1"/>
    <col min="14" max="14" width="12.5703125" style="84" customWidth="1"/>
    <col min="15" max="15" width="12.5703125" style="83" customWidth="1"/>
    <col min="16" max="16" width="12.5703125" style="84" customWidth="1"/>
    <col min="17" max="17" width="12.5703125" style="83" customWidth="1"/>
    <col min="18" max="18" width="12.5703125" style="84" customWidth="1"/>
    <col min="19" max="19" width="12.5703125" style="83" customWidth="1"/>
    <col min="20" max="20" width="12.5703125" style="84" customWidth="1"/>
    <col min="21" max="21" width="12.5703125" style="83" customWidth="1"/>
    <col min="22" max="22" width="12.5703125" style="84" customWidth="1"/>
    <col min="23" max="23" width="12.5703125" style="83" customWidth="1"/>
    <col min="24" max="24" width="12.5703125" style="84" customWidth="1"/>
    <col min="25" max="25" width="12.5703125" style="83" customWidth="1"/>
    <col min="26" max="26" width="12.5703125" style="84" customWidth="1"/>
    <col min="27" max="27" width="12.5703125" style="83" customWidth="1"/>
    <col min="28" max="28" width="12.5703125" style="84" customWidth="1"/>
    <col min="29" max="87" width="12.5703125" style="68" customWidth="1"/>
    <col min="88" max="90" width="9.140625" style="68" customWidth="1"/>
    <col min="91" max="16384" width="9.140625" style="68"/>
  </cols>
  <sheetData>
    <row r="1" spans="1:87" x14ac:dyDescent="0.25">
      <c r="A1" s="78" t="s">
        <v>126</v>
      </c>
      <c r="B1" s="80" t="s">
        <v>127</v>
      </c>
      <c r="C1" s="81" t="s">
        <v>128</v>
      </c>
      <c r="D1" s="80" t="s">
        <v>129</v>
      </c>
      <c r="E1" s="82" t="s">
        <v>130</v>
      </c>
      <c r="F1" s="81" t="s">
        <v>131</v>
      </c>
      <c r="G1" s="80" t="s">
        <v>132</v>
      </c>
      <c r="H1" s="81" t="s">
        <v>133</v>
      </c>
      <c r="I1" s="80" t="s">
        <v>134</v>
      </c>
      <c r="J1" s="81" t="s">
        <v>135</v>
      </c>
      <c r="K1" s="80" t="s">
        <v>136</v>
      </c>
      <c r="L1" s="81" t="s">
        <v>137</v>
      </c>
      <c r="M1" s="80" t="s">
        <v>138</v>
      </c>
      <c r="N1" s="81" t="s">
        <v>139</v>
      </c>
      <c r="O1" s="80" t="s">
        <v>140</v>
      </c>
      <c r="P1" s="81" t="s">
        <v>141</v>
      </c>
      <c r="Q1" s="80" t="s">
        <v>142</v>
      </c>
      <c r="R1" s="81" t="s">
        <v>143</v>
      </c>
      <c r="S1" s="80" t="s">
        <v>144</v>
      </c>
      <c r="T1" s="81" t="s">
        <v>145</v>
      </c>
      <c r="U1" s="80" t="s">
        <v>146</v>
      </c>
      <c r="V1" s="81" t="s">
        <v>147</v>
      </c>
      <c r="W1" s="80" t="s">
        <v>148</v>
      </c>
      <c r="X1" s="81" t="s">
        <v>149</v>
      </c>
      <c r="Y1" s="80" t="s">
        <v>150</v>
      </c>
      <c r="Z1" s="81" t="s">
        <v>151</v>
      </c>
      <c r="AA1" s="80" t="s">
        <v>152</v>
      </c>
      <c r="AB1" s="81" t="s">
        <v>153</v>
      </c>
      <c r="AC1" s="68" t="s">
        <v>154</v>
      </c>
      <c r="AD1" s="68" t="s">
        <v>155</v>
      </c>
      <c r="AE1" s="68" t="s">
        <v>156</v>
      </c>
      <c r="AF1" s="68" t="s">
        <v>157</v>
      </c>
      <c r="AG1" s="68" t="s">
        <v>158</v>
      </c>
      <c r="AH1" s="68" t="s">
        <v>159</v>
      </c>
      <c r="AI1" s="68" t="s">
        <v>160</v>
      </c>
      <c r="AJ1" s="68" t="s">
        <v>161</v>
      </c>
      <c r="AK1" s="68" t="s">
        <v>162</v>
      </c>
      <c r="AL1" s="68" t="s">
        <v>163</v>
      </c>
      <c r="AM1" s="68" t="s">
        <v>164</v>
      </c>
      <c r="AN1" s="68" t="s">
        <v>165</v>
      </c>
      <c r="AO1" s="68" t="s">
        <v>166</v>
      </c>
      <c r="AP1" s="68" t="s">
        <v>167</v>
      </c>
      <c r="AQ1" s="68" t="s">
        <v>168</v>
      </c>
      <c r="AR1" s="68" t="s">
        <v>169</v>
      </c>
      <c r="AS1" s="68" t="s">
        <v>170</v>
      </c>
      <c r="AT1" s="68" t="s">
        <v>171</v>
      </c>
      <c r="AU1" s="68" t="s">
        <v>172</v>
      </c>
      <c r="AV1" s="68" t="s">
        <v>173</v>
      </c>
      <c r="AW1" s="68" t="s">
        <v>174</v>
      </c>
      <c r="AX1" s="68" t="s">
        <v>175</v>
      </c>
      <c r="AY1" s="68" t="s">
        <v>176</v>
      </c>
      <c r="AZ1" s="68" t="s">
        <v>177</v>
      </c>
      <c r="BA1" s="68" t="s">
        <v>178</v>
      </c>
      <c r="BB1" s="68" t="s">
        <v>179</v>
      </c>
      <c r="BC1" s="68" t="s">
        <v>180</v>
      </c>
      <c r="BD1" s="68" t="s">
        <v>181</v>
      </c>
      <c r="BE1" s="68" t="s">
        <v>182</v>
      </c>
      <c r="BF1" s="68" t="s">
        <v>183</v>
      </c>
      <c r="BG1" s="68" t="s">
        <v>184</v>
      </c>
      <c r="BH1" s="68" t="s">
        <v>185</v>
      </c>
      <c r="BI1" s="68" t="s">
        <v>186</v>
      </c>
      <c r="BJ1" s="68" t="s">
        <v>187</v>
      </c>
      <c r="BK1" s="68" t="s">
        <v>188</v>
      </c>
      <c r="BL1" s="68" t="s">
        <v>189</v>
      </c>
      <c r="BM1" s="68" t="s">
        <v>190</v>
      </c>
      <c r="BN1" s="68" t="s">
        <v>191</v>
      </c>
      <c r="BO1" s="68" t="s">
        <v>192</v>
      </c>
      <c r="BP1" s="68" t="s">
        <v>193</v>
      </c>
      <c r="BQ1" s="68" t="s">
        <v>194</v>
      </c>
      <c r="BR1" s="68" t="s">
        <v>195</v>
      </c>
      <c r="BS1" s="68" t="s">
        <v>196</v>
      </c>
      <c r="BT1" s="68" t="s">
        <v>197</v>
      </c>
      <c r="BU1" s="68" t="s">
        <v>198</v>
      </c>
      <c r="BV1" s="68" t="s">
        <v>199</v>
      </c>
      <c r="BW1" s="68" t="s">
        <v>200</v>
      </c>
      <c r="BX1" s="68" t="s">
        <v>201</v>
      </c>
      <c r="BY1" s="68" t="s">
        <v>202</v>
      </c>
      <c r="BZ1" s="68" t="s">
        <v>203</v>
      </c>
      <c r="CA1" s="68" t="s">
        <v>204</v>
      </c>
      <c r="CB1" s="68" t="s">
        <v>205</v>
      </c>
      <c r="CC1" s="68" t="s">
        <v>206</v>
      </c>
      <c r="CD1" s="68" t="s">
        <v>207</v>
      </c>
      <c r="CE1" s="68" t="s">
        <v>208</v>
      </c>
      <c r="CF1" s="68" t="s">
        <v>209</v>
      </c>
      <c r="CG1" s="68" t="s">
        <v>210</v>
      </c>
      <c r="CH1" s="68" t="s">
        <v>211</v>
      </c>
      <c r="CI1" s="68" t="s">
        <v>212</v>
      </c>
    </row>
    <row r="2" spans="1:87" x14ac:dyDescent="0.25">
      <c r="A2" s="79" t="s">
        <v>71</v>
      </c>
      <c r="B2" s="83">
        <v>3</v>
      </c>
      <c r="C2" s="84">
        <v>1</v>
      </c>
      <c r="D2" s="83">
        <v>3</v>
      </c>
      <c r="E2" s="68">
        <f t="shared" ref="E2:E45" si="0">SUM(G2:V2)</f>
        <v>4</v>
      </c>
      <c r="F2" s="84">
        <f t="shared" ref="F2:F45" si="1">ROUND(AVERAGE(G2:V2),1)</f>
        <v>1.3</v>
      </c>
      <c r="I2" s="83">
        <v>2</v>
      </c>
      <c r="J2" s="84" t="s">
        <v>213</v>
      </c>
      <c r="K2" s="68"/>
      <c r="L2" s="68"/>
      <c r="O2" s="83" t="s">
        <v>213</v>
      </c>
      <c r="P2" s="84" t="s">
        <v>213</v>
      </c>
      <c r="S2" s="83">
        <v>1</v>
      </c>
      <c r="T2" s="84">
        <v>1</v>
      </c>
    </row>
    <row r="3" spans="1:87" x14ac:dyDescent="0.25">
      <c r="A3" s="79" t="s">
        <v>66</v>
      </c>
      <c r="B3" s="83">
        <v>1</v>
      </c>
      <c r="C3" s="84">
        <v>0</v>
      </c>
      <c r="D3" s="83">
        <v>2</v>
      </c>
      <c r="E3" s="68">
        <f t="shared" si="0"/>
        <v>7</v>
      </c>
      <c r="F3" s="84">
        <f t="shared" si="1"/>
        <v>2.2999999999999998</v>
      </c>
      <c r="Q3" s="68"/>
      <c r="R3" s="68"/>
      <c r="S3" s="83">
        <v>2</v>
      </c>
      <c r="T3" s="84">
        <v>3</v>
      </c>
      <c r="U3" s="5">
        <v>2</v>
      </c>
      <c r="V3" s="6" t="s">
        <v>213</v>
      </c>
    </row>
    <row r="4" spans="1:87" x14ac:dyDescent="0.25">
      <c r="A4" s="79" t="s">
        <v>6</v>
      </c>
      <c r="B4" s="83">
        <v>0</v>
      </c>
      <c r="C4" s="84">
        <v>0</v>
      </c>
      <c r="D4" s="83">
        <v>7</v>
      </c>
      <c r="E4" s="68">
        <f t="shared" si="0"/>
        <v>36</v>
      </c>
      <c r="F4" s="84">
        <f t="shared" si="1"/>
        <v>2.6</v>
      </c>
      <c r="G4" s="83">
        <v>3</v>
      </c>
      <c r="H4" s="84">
        <v>3</v>
      </c>
      <c r="I4" s="83">
        <v>3</v>
      </c>
      <c r="J4" s="84">
        <v>2</v>
      </c>
      <c r="K4" s="68">
        <v>2</v>
      </c>
      <c r="L4" s="68">
        <v>3</v>
      </c>
      <c r="O4" s="83">
        <v>3</v>
      </c>
      <c r="P4" s="84">
        <v>2</v>
      </c>
      <c r="Q4" s="5">
        <v>3</v>
      </c>
      <c r="R4" s="6">
        <v>2</v>
      </c>
      <c r="S4" s="83">
        <v>2</v>
      </c>
      <c r="T4" s="84">
        <v>2</v>
      </c>
      <c r="U4" s="5">
        <v>3</v>
      </c>
      <c r="V4" s="6">
        <v>3</v>
      </c>
    </row>
    <row r="5" spans="1:87" x14ac:dyDescent="0.25">
      <c r="A5" s="79" t="s">
        <v>16</v>
      </c>
      <c r="B5" s="83">
        <v>0</v>
      </c>
      <c r="C5" s="84">
        <v>0</v>
      </c>
      <c r="D5" s="83">
        <v>1</v>
      </c>
      <c r="E5" s="68">
        <f t="shared" si="0"/>
        <v>5</v>
      </c>
      <c r="F5" s="84">
        <f t="shared" si="1"/>
        <v>2.5</v>
      </c>
      <c r="Q5" s="68"/>
      <c r="R5" s="68"/>
      <c r="S5" s="83">
        <v>2</v>
      </c>
      <c r="T5" s="84">
        <v>3</v>
      </c>
    </row>
    <row r="6" spans="1:87" x14ac:dyDescent="0.25">
      <c r="A6" s="79" t="s">
        <v>76</v>
      </c>
      <c r="B6" s="83">
        <v>2</v>
      </c>
      <c r="C6" s="84">
        <v>0</v>
      </c>
      <c r="D6" s="83">
        <v>4</v>
      </c>
      <c r="E6" s="68">
        <f t="shared" si="0"/>
        <v>15</v>
      </c>
      <c r="F6" s="84">
        <f t="shared" si="1"/>
        <v>2.5</v>
      </c>
      <c r="G6" s="83">
        <v>3</v>
      </c>
      <c r="H6" s="84">
        <v>1</v>
      </c>
      <c r="I6" s="83">
        <v>3</v>
      </c>
      <c r="J6" s="84">
        <v>3</v>
      </c>
      <c r="O6" s="83">
        <v>3</v>
      </c>
      <c r="P6" s="84" t="s">
        <v>213</v>
      </c>
      <c r="Q6" s="68"/>
      <c r="R6" s="68"/>
      <c r="S6" s="83">
        <v>2</v>
      </c>
      <c r="T6" s="84" t="s">
        <v>213</v>
      </c>
    </row>
    <row r="7" spans="1:87" x14ac:dyDescent="0.25">
      <c r="A7" s="79" t="s">
        <v>57</v>
      </c>
      <c r="B7" s="83">
        <v>2</v>
      </c>
      <c r="C7" s="84">
        <v>1</v>
      </c>
      <c r="D7" s="83">
        <v>6</v>
      </c>
      <c r="E7" s="68">
        <f t="shared" si="0"/>
        <v>25</v>
      </c>
      <c r="F7" s="84">
        <f t="shared" si="1"/>
        <v>2.5</v>
      </c>
      <c r="G7" s="83">
        <v>2</v>
      </c>
      <c r="H7" s="84">
        <v>3</v>
      </c>
      <c r="I7" s="83">
        <v>2</v>
      </c>
      <c r="J7" s="84">
        <v>3</v>
      </c>
      <c r="K7" s="68" t="s">
        <v>213</v>
      </c>
      <c r="L7" s="68" t="s">
        <v>213</v>
      </c>
      <c r="O7" s="83">
        <v>3</v>
      </c>
      <c r="P7" s="84">
        <v>2</v>
      </c>
      <c r="Q7" s="5">
        <v>3</v>
      </c>
      <c r="R7" s="6">
        <v>3</v>
      </c>
      <c r="S7" s="83">
        <v>2</v>
      </c>
      <c r="T7" s="84">
        <v>2</v>
      </c>
    </row>
    <row r="8" spans="1:87" x14ac:dyDescent="0.25">
      <c r="A8" s="79" t="s">
        <v>10</v>
      </c>
      <c r="B8" s="83">
        <v>0</v>
      </c>
      <c r="C8" s="84">
        <v>0</v>
      </c>
      <c r="D8" s="83">
        <v>8</v>
      </c>
      <c r="E8" s="68">
        <f t="shared" si="0"/>
        <v>45</v>
      </c>
      <c r="F8" s="84">
        <f t="shared" si="1"/>
        <v>2.8</v>
      </c>
      <c r="G8" s="83">
        <v>3</v>
      </c>
      <c r="H8" s="84">
        <v>3</v>
      </c>
      <c r="I8" s="83">
        <v>2</v>
      </c>
      <c r="J8" s="84">
        <v>3</v>
      </c>
      <c r="K8" s="83">
        <v>3</v>
      </c>
      <c r="L8" s="84">
        <v>3</v>
      </c>
      <c r="M8" s="83">
        <v>2</v>
      </c>
      <c r="N8" s="84">
        <v>2</v>
      </c>
      <c r="O8" s="83">
        <v>3</v>
      </c>
      <c r="P8" s="84">
        <v>3</v>
      </c>
      <c r="Q8" s="4">
        <v>3</v>
      </c>
      <c r="R8" s="4">
        <v>3</v>
      </c>
      <c r="S8" s="83">
        <v>3</v>
      </c>
      <c r="T8" s="84">
        <v>3</v>
      </c>
      <c r="U8" s="5">
        <v>3</v>
      </c>
      <c r="V8" s="6">
        <v>3</v>
      </c>
    </row>
    <row r="9" spans="1:87" x14ac:dyDescent="0.25">
      <c r="A9" s="79" t="s">
        <v>214</v>
      </c>
      <c r="B9" s="83">
        <v>2</v>
      </c>
      <c r="C9" s="84">
        <v>1</v>
      </c>
      <c r="D9" s="83">
        <v>2</v>
      </c>
      <c r="E9" s="68">
        <f t="shared" si="0"/>
        <v>6</v>
      </c>
      <c r="F9" s="84">
        <f t="shared" si="1"/>
        <v>3</v>
      </c>
      <c r="Q9" s="68"/>
      <c r="R9" s="68"/>
      <c r="S9" s="83">
        <v>3</v>
      </c>
      <c r="T9" s="84">
        <v>3</v>
      </c>
      <c r="U9" s="5" t="s">
        <v>213</v>
      </c>
      <c r="V9" s="6" t="s">
        <v>213</v>
      </c>
    </row>
    <row r="10" spans="1:87" x14ac:dyDescent="0.25">
      <c r="A10" s="79" t="s">
        <v>22</v>
      </c>
      <c r="B10" s="83">
        <v>0</v>
      </c>
      <c r="C10" s="84">
        <v>0</v>
      </c>
      <c r="D10" s="83">
        <v>8</v>
      </c>
      <c r="E10" s="68">
        <f t="shared" si="0"/>
        <v>41</v>
      </c>
      <c r="F10" s="84">
        <f t="shared" si="1"/>
        <v>2.6</v>
      </c>
      <c r="G10" s="83">
        <v>1</v>
      </c>
      <c r="H10" s="84">
        <v>3</v>
      </c>
      <c r="I10" s="83">
        <v>3</v>
      </c>
      <c r="J10" s="84">
        <v>3</v>
      </c>
      <c r="K10" s="68">
        <v>1</v>
      </c>
      <c r="L10" s="68">
        <v>3</v>
      </c>
      <c r="M10" s="83">
        <v>2</v>
      </c>
      <c r="N10" s="84">
        <v>3</v>
      </c>
      <c r="O10" s="83">
        <v>1</v>
      </c>
      <c r="P10" s="84">
        <v>3</v>
      </c>
      <c r="Q10" s="4">
        <v>3</v>
      </c>
      <c r="R10" s="4">
        <v>3</v>
      </c>
      <c r="S10" s="83">
        <v>3</v>
      </c>
      <c r="T10" s="84">
        <v>3</v>
      </c>
      <c r="U10" s="5">
        <v>3</v>
      </c>
      <c r="V10" s="6">
        <v>3</v>
      </c>
    </row>
    <row r="11" spans="1:87" x14ac:dyDescent="0.25">
      <c r="A11" s="79" t="s">
        <v>80</v>
      </c>
      <c r="B11" s="83">
        <v>0</v>
      </c>
      <c r="C11" s="84">
        <v>0</v>
      </c>
      <c r="D11" s="83">
        <v>1</v>
      </c>
      <c r="E11" s="68">
        <f t="shared" si="0"/>
        <v>3</v>
      </c>
      <c r="F11" s="84">
        <f t="shared" si="1"/>
        <v>1.5</v>
      </c>
      <c r="I11" s="83">
        <v>2</v>
      </c>
      <c r="J11" s="84">
        <v>1</v>
      </c>
      <c r="Q11" s="68"/>
      <c r="R11" s="68"/>
    </row>
    <row r="12" spans="1:87" x14ac:dyDescent="0.25">
      <c r="A12" s="79" t="s">
        <v>95</v>
      </c>
      <c r="B12" s="83">
        <v>0</v>
      </c>
      <c r="C12" s="84">
        <v>0</v>
      </c>
      <c r="D12" s="83">
        <v>0</v>
      </c>
      <c r="E12" s="68">
        <f t="shared" si="0"/>
        <v>0</v>
      </c>
      <c r="F12" s="84" t="e">
        <f t="shared" si="1"/>
        <v>#DIV/0!</v>
      </c>
      <c r="Q12" s="68"/>
      <c r="R12" s="68"/>
    </row>
    <row r="13" spans="1:87" x14ac:dyDescent="0.25">
      <c r="A13" s="79" t="s">
        <v>215</v>
      </c>
      <c r="B13" s="83">
        <v>2</v>
      </c>
      <c r="C13" s="84">
        <v>1</v>
      </c>
      <c r="D13" s="83">
        <v>6</v>
      </c>
      <c r="E13" s="68">
        <f t="shared" si="0"/>
        <v>8</v>
      </c>
      <c r="F13" s="84">
        <f t="shared" si="1"/>
        <v>0.8</v>
      </c>
      <c r="G13" s="83">
        <v>2</v>
      </c>
      <c r="H13" s="84">
        <v>1</v>
      </c>
      <c r="I13" s="83">
        <v>0</v>
      </c>
      <c r="J13" s="84">
        <v>0</v>
      </c>
      <c r="K13" s="83">
        <v>2</v>
      </c>
      <c r="L13" s="84">
        <v>1</v>
      </c>
      <c r="M13" s="83">
        <v>1</v>
      </c>
      <c r="N13" s="84">
        <v>0</v>
      </c>
      <c r="O13" s="83">
        <v>1</v>
      </c>
      <c r="P13" s="84">
        <v>0</v>
      </c>
      <c r="Q13" s="4" t="s">
        <v>213</v>
      </c>
      <c r="R13" s="4" t="s">
        <v>213</v>
      </c>
    </row>
    <row r="14" spans="1:87" x14ac:dyDescent="0.25">
      <c r="A14" s="79" t="s">
        <v>82</v>
      </c>
      <c r="B14" s="83">
        <v>0</v>
      </c>
      <c r="C14" s="84">
        <v>0</v>
      </c>
      <c r="D14" s="83">
        <v>1</v>
      </c>
      <c r="E14" s="68">
        <f t="shared" si="0"/>
        <v>6</v>
      </c>
      <c r="F14" s="84">
        <f t="shared" si="1"/>
        <v>3</v>
      </c>
      <c r="G14" s="83">
        <v>3</v>
      </c>
      <c r="H14" s="84">
        <v>3</v>
      </c>
    </row>
    <row r="15" spans="1:87" x14ac:dyDescent="0.25">
      <c r="A15" s="79" t="s">
        <v>216</v>
      </c>
      <c r="B15" s="83">
        <v>0</v>
      </c>
      <c r="C15" s="84">
        <v>0</v>
      </c>
      <c r="D15" s="83">
        <v>3</v>
      </c>
      <c r="E15" s="68">
        <f t="shared" si="0"/>
        <v>18</v>
      </c>
      <c r="F15" s="84">
        <f t="shared" si="1"/>
        <v>3</v>
      </c>
      <c r="K15" s="83">
        <v>3</v>
      </c>
      <c r="L15" s="84">
        <v>3</v>
      </c>
      <c r="M15" s="83">
        <v>3</v>
      </c>
      <c r="N15" s="84">
        <v>3</v>
      </c>
      <c r="Q15" s="4">
        <v>3</v>
      </c>
      <c r="R15" s="4">
        <v>3</v>
      </c>
    </row>
    <row r="16" spans="1:87" x14ac:dyDescent="0.25">
      <c r="A16" s="79" t="s">
        <v>96</v>
      </c>
      <c r="B16" s="83">
        <v>0</v>
      </c>
      <c r="C16" s="84">
        <v>0</v>
      </c>
      <c r="D16" s="83">
        <v>0</v>
      </c>
      <c r="E16" s="68">
        <f t="shared" si="0"/>
        <v>0</v>
      </c>
      <c r="F16" s="84" t="e">
        <f t="shared" si="1"/>
        <v>#DIV/0!</v>
      </c>
      <c r="Q16" s="68"/>
      <c r="R16" s="68"/>
    </row>
    <row r="17" spans="1:22" x14ac:dyDescent="0.25">
      <c r="A17" s="79" t="s">
        <v>217</v>
      </c>
      <c r="B17" s="83">
        <v>0</v>
      </c>
      <c r="C17" s="84">
        <v>0</v>
      </c>
      <c r="D17" s="83">
        <v>0</v>
      </c>
      <c r="E17" s="68">
        <f t="shared" si="0"/>
        <v>0</v>
      </c>
      <c r="F17" s="84" t="e">
        <f t="shared" si="1"/>
        <v>#DIV/0!</v>
      </c>
      <c r="K17" s="68"/>
      <c r="L17" s="68"/>
      <c r="Q17" s="68"/>
      <c r="R17" s="68"/>
    </row>
    <row r="18" spans="1:22" x14ac:dyDescent="0.25">
      <c r="A18" s="79" t="s">
        <v>70</v>
      </c>
      <c r="B18" s="83">
        <v>0</v>
      </c>
      <c r="C18" s="84">
        <v>0</v>
      </c>
      <c r="D18" s="83">
        <v>2</v>
      </c>
      <c r="E18" s="68">
        <f t="shared" si="0"/>
        <v>9</v>
      </c>
      <c r="F18" s="84">
        <f t="shared" si="1"/>
        <v>2.2999999999999998</v>
      </c>
      <c r="Q18" s="5">
        <v>3</v>
      </c>
      <c r="R18" s="6">
        <v>2</v>
      </c>
      <c r="U18" s="5">
        <v>3</v>
      </c>
      <c r="V18" s="6">
        <v>1</v>
      </c>
    </row>
    <row r="19" spans="1:22" x14ac:dyDescent="0.25">
      <c r="A19" s="79" t="s">
        <v>69</v>
      </c>
      <c r="B19" s="83">
        <v>0</v>
      </c>
      <c r="C19" s="84">
        <v>0</v>
      </c>
      <c r="D19" s="83">
        <v>5</v>
      </c>
      <c r="E19" s="68">
        <f t="shared" si="0"/>
        <v>22</v>
      </c>
      <c r="F19" s="84">
        <f t="shared" si="1"/>
        <v>2.2000000000000002</v>
      </c>
      <c r="G19" s="83">
        <v>1</v>
      </c>
      <c r="H19" s="84">
        <v>2</v>
      </c>
      <c r="I19" s="83">
        <v>1</v>
      </c>
      <c r="J19" s="84">
        <v>3</v>
      </c>
      <c r="M19" s="83">
        <v>0</v>
      </c>
      <c r="N19" s="84">
        <v>3</v>
      </c>
      <c r="O19" s="83">
        <v>3</v>
      </c>
      <c r="P19" s="84">
        <v>3</v>
      </c>
      <c r="U19" s="5">
        <v>3</v>
      </c>
      <c r="V19" s="6">
        <v>3</v>
      </c>
    </row>
    <row r="20" spans="1:22" x14ac:dyDescent="0.25">
      <c r="A20" s="79" t="s">
        <v>105</v>
      </c>
      <c r="B20" s="83">
        <v>0</v>
      </c>
      <c r="C20" s="84">
        <v>0</v>
      </c>
      <c r="D20" s="83">
        <v>0</v>
      </c>
      <c r="E20" s="68">
        <f t="shared" si="0"/>
        <v>0</v>
      </c>
      <c r="F20" s="84" t="e">
        <f t="shared" si="1"/>
        <v>#DIV/0!</v>
      </c>
    </row>
    <row r="21" spans="1:22" x14ac:dyDescent="0.25">
      <c r="A21" s="79" t="s">
        <v>61</v>
      </c>
      <c r="B21" s="83">
        <v>0</v>
      </c>
      <c r="C21" s="84">
        <v>0</v>
      </c>
      <c r="D21" s="83">
        <v>5</v>
      </c>
      <c r="E21" s="68">
        <f t="shared" si="0"/>
        <v>24</v>
      </c>
      <c r="F21" s="84">
        <f t="shared" si="1"/>
        <v>2.4</v>
      </c>
      <c r="I21" s="83">
        <v>3</v>
      </c>
      <c r="J21" s="84">
        <v>1</v>
      </c>
      <c r="K21" s="68">
        <v>3</v>
      </c>
      <c r="L21" s="68">
        <v>3</v>
      </c>
      <c r="O21" s="83">
        <v>3</v>
      </c>
      <c r="P21" s="84">
        <v>1</v>
      </c>
      <c r="Q21" s="5">
        <v>3</v>
      </c>
      <c r="R21" s="6">
        <v>3</v>
      </c>
      <c r="U21" s="5">
        <v>3</v>
      </c>
      <c r="V21" s="6">
        <v>1</v>
      </c>
    </row>
    <row r="22" spans="1:22" x14ac:dyDescent="0.25">
      <c r="A22" s="79" t="s">
        <v>20</v>
      </c>
      <c r="B22" s="83">
        <v>0</v>
      </c>
      <c r="C22" s="84">
        <v>0</v>
      </c>
      <c r="D22" s="83">
        <v>4</v>
      </c>
      <c r="E22" s="68">
        <f t="shared" si="0"/>
        <v>19</v>
      </c>
      <c r="F22" s="84">
        <f t="shared" si="1"/>
        <v>2.4</v>
      </c>
      <c r="G22" s="83">
        <v>3</v>
      </c>
      <c r="H22" s="84">
        <v>3</v>
      </c>
      <c r="K22" s="83">
        <v>2</v>
      </c>
      <c r="L22" s="84">
        <v>2</v>
      </c>
      <c r="O22" s="83">
        <v>1</v>
      </c>
      <c r="P22" s="84">
        <v>3</v>
      </c>
      <c r="Q22" s="4">
        <v>2</v>
      </c>
      <c r="R22" s="4">
        <v>3</v>
      </c>
    </row>
    <row r="23" spans="1:22" x14ac:dyDescent="0.25">
      <c r="A23" s="79" t="s">
        <v>68</v>
      </c>
      <c r="B23" s="83">
        <v>0</v>
      </c>
      <c r="C23" s="84">
        <v>0</v>
      </c>
      <c r="D23" s="83">
        <v>2</v>
      </c>
      <c r="E23" s="68">
        <f t="shared" si="0"/>
        <v>9</v>
      </c>
      <c r="F23" s="84">
        <f t="shared" si="1"/>
        <v>2.2999999999999998</v>
      </c>
      <c r="G23" s="83">
        <v>1</v>
      </c>
      <c r="H23" s="84">
        <v>2</v>
      </c>
      <c r="I23" s="83">
        <v>3</v>
      </c>
      <c r="J23" s="84">
        <v>3</v>
      </c>
      <c r="K23" s="68"/>
      <c r="L23" s="68"/>
    </row>
    <row r="24" spans="1:22" x14ac:dyDescent="0.25">
      <c r="A24" s="79" t="s">
        <v>13</v>
      </c>
      <c r="B24" s="83">
        <v>0</v>
      </c>
      <c r="C24" s="84">
        <v>0</v>
      </c>
      <c r="D24" s="83">
        <v>0</v>
      </c>
      <c r="E24" s="68">
        <f t="shared" si="0"/>
        <v>0</v>
      </c>
      <c r="F24" s="84" t="e">
        <f t="shared" si="1"/>
        <v>#DIV/0!</v>
      </c>
    </row>
    <row r="25" spans="1:22" x14ac:dyDescent="0.25">
      <c r="A25" s="79" t="s">
        <v>64</v>
      </c>
      <c r="B25" s="83">
        <v>2</v>
      </c>
      <c r="C25" s="84">
        <v>0</v>
      </c>
      <c r="D25" s="83">
        <v>4</v>
      </c>
      <c r="E25" s="68">
        <f t="shared" si="0"/>
        <v>14</v>
      </c>
      <c r="F25" s="84">
        <f t="shared" si="1"/>
        <v>2.2999999999999998</v>
      </c>
      <c r="I25" s="83">
        <v>2</v>
      </c>
      <c r="J25" s="84" t="s">
        <v>213</v>
      </c>
      <c r="K25" s="68"/>
      <c r="L25" s="68"/>
      <c r="M25" s="83">
        <v>3</v>
      </c>
      <c r="N25" s="84">
        <v>1</v>
      </c>
      <c r="O25" s="83">
        <v>3</v>
      </c>
      <c r="P25" s="84">
        <v>3</v>
      </c>
      <c r="Q25" s="5">
        <v>2</v>
      </c>
      <c r="R25" s="6" t="s">
        <v>213</v>
      </c>
    </row>
    <row r="26" spans="1:22" x14ac:dyDescent="0.25">
      <c r="A26" s="79" t="s">
        <v>73</v>
      </c>
      <c r="B26" s="83">
        <v>2</v>
      </c>
      <c r="C26" s="84">
        <v>1</v>
      </c>
      <c r="D26" s="83">
        <v>4</v>
      </c>
      <c r="E26" s="68">
        <f t="shared" si="0"/>
        <v>18</v>
      </c>
      <c r="F26" s="84">
        <f t="shared" si="1"/>
        <v>3</v>
      </c>
      <c r="G26" s="83" t="s">
        <v>213</v>
      </c>
      <c r="H26" s="84" t="s">
        <v>213</v>
      </c>
      <c r="I26" s="83">
        <v>3</v>
      </c>
      <c r="J26" s="84">
        <v>3</v>
      </c>
      <c r="K26" s="68">
        <v>3</v>
      </c>
      <c r="L26" s="68">
        <v>3</v>
      </c>
      <c r="U26" s="5">
        <v>3</v>
      </c>
      <c r="V26" s="6">
        <v>3</v>
      </c>
    </row>
    <row r="27" spans="1:22" x14ac:dyDescent="0.25">
      <c r="A27" s="79" t="s">
        <v>41</v>
      </c>
      <c r="B27" s="83">
        <v>0</v>
      </c>
      <c r="C27" s="84">
        <v>0</v>
      </c>
      <c r="D27" s="83">
        <v>0</v>
      </c>
      <c r="E27" s="68">
        <f t="shared" si="0"/>
        <v>0</v>
      </c>
      <c r="F27" s="84" t="e">
        <f t="shared" si="1"/>
        <v>#DIV/0!</v>
      </c>
      <c r="K27" s="68"/>
      <c r="L27" s="68"/>
      <c r="Q27" s="68"/>
      <c r="R27" s="68"/>
    </row>
    <row r="28" spans="1:22" x14ac:dyDescent="0.25">
      <c r="A28" s="79" t="s">
        <v>65</v>
      </c>
      <c r="B28" s="83">
        <v>0</v>
      </c>
      <c r="C28" s="84">
        <v>0</v>
      </c>
      <c r="D28" s="83">
        <v>1</v>
      </c>
      <c r="E28" s="68">
        <f t="shared" si="0"/>
        <v>5</v>
      </c>
      <c r="F28" s="84">
        <f t="shared" si="1"/>
        <v>2.5</v>
      </c>
      <c r="U28" s="5">
        <v>2</v>
      </c>
      <c r="V28" s="6">
        <v>3</v>
      </c>
    </row>
    <row r="29" spans="1:22" x14ac:dyDescent="0.25">
      <c r="A29" s="79" t="s">
        <v>45</v>
      </c>
      <c r="B29" s="83">
        <v>0</v>
      </c>
      <c r="C29" s="84">
        <v>0</v>
      </c>
      <c r="D29" s="83">
        <v>4</v>
      </c>
      <c r="E29" s="68">
        <f t="shared" si="0"/>
        <v>24</v>
      </c>
      <c r="F29" s="84">
        <f t="shared" si="1"/>
        <v>3</v>
      </c>
      <c r="I29" s="83">
        <v>3</v>
      </c>
      <c r="J29" s="84">
        <v>3</v>
      </c>
      <c r="M29" s="83">
        <v>3</v>
      </c>
      <c r="N29" s="84">
        <v>3</v>
      </c>
      <c r="O29" s="83">
        <v>3</v>
      </c>
      <c r="P29" s="84">
        <v>3</v>
      </c>
      <c r="Q29" s="5">
        <v>3</v>
      </c>
      <c r="R29" s="6">
        <v>3</v>
      </c>
    </row>
    <row r="30" spans="1:22" x14ac:dyDescent="0.25">
      <c r="A30" s="79" t="s">
        <v>79</v>
      </c>
      <c r="B30" s="83">
        <v>2</v>
      </c>
      <c r="C30" s="84">
        <v>1</v>
      </c>
      <c r="D30" s="83">
        <v>4</v>
      </c>
      <c r="E30" s="68">
        <f t="shared" si="0"/>
        <v>10</v>
      </c>
      <c r="F30" s="84">
        <f t="shared" si="1"/>
        <v>1.7</v>
      </c>
      <c r="I30" s="83" t="s">
        <v>213</v>
      </c>
      <c r="J30" s="84" t="s">
        <v>213</v>
      </c>
      <c r="K30" s="83">
        <v>3</v>
      </c>
      <c r="L30" s="84">
        <v>3</v>
      </c>
      <c r="M30" s="83">
        <v>1</v>
      </c>
      <c r="N30" s="84">
        <v>1</v>
      </c>
      <c r="O30" s="83">
        <v>0</v>
      </c>
      <c r="P30" s="84" t="s">
        <v>213</v>
      </c>
      <c r="Q30" s="5">
        <v>2</v>
      </c>
      <c r="R30" s="6" t="s">
        <v>213</v>
      </c>
    </row>
    <row r="31" spans="1:22" x14ac:dyDescent="0.25">
      <c r="A31" s="79" t="s">
        <v>86</v>
      </c>
      <c r="B31" s="83">
        <v>0</v>
      </c>
      <c r="C31" s="84">
        <v>0</v>
      </c>
      <c r="D31" s="83">
        <v>0</v>
      </c>
      <c r="E31" s="68">
        <f t="shared" si="0"/>
        <v>0</v>
      </c>
      <c r="F31" s="84" t="e">
        <f t="shared" si="1"/>
        <v>#DIV/0!</v>
      </c>
    </row>
    <row r="32" spans="1:22" x14ac:dyDescent="0.25">
      <c r="A32" s="79" t="s">
        <v>114</v>
      </c>
      <c r="B32" s="83">
        <v>4</v>
      </c>
      <c r="C32" s="84">
        <v>1</v>
      </c>
      <c r="D32" s="83">
        <v>4</v>
      </c>
      <c r="E32" s="68">
        <f t="shared" si="0"/>
        <v>8</v>
      </c>
      <c r="F32" s="84">
        <f t="shared" si="1"/>
        <v>2</v>
      </c>
      <c r="G32" s="83">
        <v>1</v>
      </c>
      <c r="H32" s="84" t="s">
        <v>213</v>
      </c>
      <c r="I32" s="83">
        <v>1</v>
      </c>
      <c r="J32" s="84" t="s">
        <v>213</v>
      </c>
      <c r="K32" s="83" t="s">
        <v>213</v>
      </c>
      <c r="L32" s="84" t="s">
        <v>213</v>
      </c>
      <c r="O32" s="83">
        <v>3</v>
      </c>
      <c r="P32" s="84">
        <v>3</v>
      </c>
    </row>
    <row r="33" spans="1:22" x14ac:dyDescent="0.25">
      <c r="A33" s="79" t="s">
        <v>77</v>
      </c>
      <c r="B33" s="83">
        <v>0</v>
      </c>
      <c r="C33" s="84">
        <v>0</v>
      </c>
      <c r="D33" s="83">
        <v>4</v>
      </c>
      <c r="E33" s="68">
        <f t="shared" si="0"/>
        <v>23</v>
      </c>
      <c r="F33" s="84">
        <f t="shared" si="1"/>
        <v>2.9</v>
      </c>
      <c r="G33" s="83">
        <v>3</v>
      </c>
      <c r="H33" s="84">
        <v>3</v>
      </c>
      <c r="I33" s="83">
        <v>2</v>
      </c>
      <c r="J33" s="84">
        <v>3</v>
      </c>
      <c r="O33" s="83">
        <v>3</v>
      </c>
      <c r="P33" s="84">
        <v>3</v>
      </c>
      <c r="Q33" s="5">
        <v>3</v>
      </c>
      <c r="R33" s="6">
        <v>3</v>
      </c>
    </row>
    <row r="34" spans="1:22" x14ac:dyDescent="0.25">
      <c r="A34" s="79" t="s">
        <v>218</v>
      </c>
      <c r="B34" s="83">
        <v>0</v>
      </c>
      <c r="C34" s="84">
        <v>0</v>
      </c>
      <c r="D34" s="83">
        <v>6</v>
      </c>
      <c r="E34" s="68">
        <f t="shared" si="0"/>
        <v>26</v>
      </c>
      <c r="F34" s="84">
        <f t="shared" si="1"/>
        <v>1.9</v>
      </c>
      <c r="G34" s="83">
        <v>2</v>
      </c>
      <c r="H34" s="84">
        <v>3</v>
      </c>
      <c r="I34" s="83">
        <v>1</v>
      </c>
      <c r="J34" s="84">
        <v>1</v>
      </c>
      <c r="K34" s="83">
        <v>3</v>
      </c>
      <c r="L34" s="84">
        <v>2</v>
      </c>
      <c r="M34" s="83">
        <v>1</v>
      </c>
      <c r="N34" s="84">
        <v>2</v>
      </c>
      <c r="O34" s="83">
        <v>1</v>
      </c>
      <c r="P34" s="84">
        <v>1</v>
      </c>
      <c r="Q34" s="5">
        <v>1</v>
      </c>
      <c r="R34" s="6">
        <v>3</v>
      </c>
      <c r="U34" s="5">
        <v>3</v>
      </c>
      <c r="V34" s="6">
        <v>2</v>
      </c>
    </row>
    <row r="35" spans="1:22" x14ac:dyDescent="0.25">
      <c r="A35" s="79" t="s">
        <v>72</v>
      </c>
      <c r="B35" s="83">
        <v>0</v>
      </c>
      <c r="C35" s="84">
        <v>0</v>
      </c>
      <c r="D35" s="83">
        <v>0</v>
      </c>
      <c r="E35" s="68">
        <f t="shared" si="0"/>
        <v>0</v>
      </c>
      <c r="F35" s="84" t="e">
        <f t="shared" si="1"/>
        <v>#DIV/0!</v>
      </c>
    </row>
    <row r="36" spans="1:22" x14ac:dyDescent="0.25">
      <c r="A36" s="79" t="s">
        <v>74</v>
      </c>
      <c r="B36" s="83">
        <v>0</v>
      </c>
      <c r="C36" s="84">
        <v>0</v>
      </c>
      <c r="D36" s="83">
        <v>2</v>
      </c>
      <c r="E36" s="68">
        <f t="shared" si="0"/>
        <v>10</v>
      </c>
      <c r="F36" s="84">
        <f t="shared" si="1"/>
        <v>2.5</v>
      </c>
      <c r="O36" s="83">
        <v>3</v>
      </c>
      <c r="P36" s="84">
        <v>2</v>
      </c>
      <c r="Q36" s="5">
        <v>3</v>
      </c>
      <c r="R36" s="6">
        <v>2</v>
      </c>
    </row>
    <row r="37" spans="1:22" x14ac:dyDescent="0.25">
      <c r="A37" s="79" t="s">
        <v>62</v>
      </c>
      <c r="B37" s="83">
        <v>2</v>
      </c>
      <c r="C37" s="84">
        <v>1</v>
      </c>
      <c r="D37" s="83">
        <v>2</v>
      </c>
      <c r="E37" s="68">
        <f t="shared" si="0"/>
        <v>5</v>
      </c>
      <c r="F37" s="84">
        <f t="shared" si="1"/>
        <v>2.5</v>
      </c>
      <c r="K37" s="83" t="s">
        <v>213</v>
      </c>
      <c r="L37" s="84" t="s">
        <v>213</v>
      </c>
      <c r="Q37" s="4">
        <v>2</v>
      </c>
      <c r="R37" s="4">
        <v>3</v>
      </c>
    </row>
    <row r="38" spans="1:22" x14ac:dyDescent="0.25">
      <c r="A38" s="79" t="s">
        <v>43</v>
      </c>
      <c r="B38" s="83">
        <v>2</v>
      </c>
      <c r="C38" s="84">
        <v>1</v>
      </c>
      <c r="D38" s="83">
        <v>2</v>
      </c>
      <c r="E38" s="68">
        <f t="shared" si="0"/>
        <v>3</v>
      </c>
      <c r="F38" s="84">
        <f t="shared" si="1"/>
        <v>3</v>
      </c>
      <c r="G38" s="83" t="s">
        <v>213</v>
      </c>
      <c r="H38" s="84" t="s">
        <v>213</v>
      </c>
      <c r="O38" s="83">
        <v>3</v>
      </c>
      <c r="P38" s="84" t="s">
        <v>213</v>
      </c>
      <c r="Q38" s="68"/>
      <c r="R38" s="68"/>
    </row>
    <row r="39" spans="1:22" x14ac:dyDescent="0.25">
      <c r="A39" s="79" t="s">
        <v>219</v>
      </c>
      <c r="B39" s="83">
        <v>0</v>
      </c>
      <c r="C39" s="84">
        <v>0</v>
      </c>
      <c r="D39" s="83">
        <v>1</v>
      </c>
      <c r="E39" s="68">
        <f t="shared" si="0"/>
        <v>2</v>
      </c>
      <c r="F39" s="84">
        <f t="shared" si="1"/>
        <v>1</v>
      </c>
      <c r="Q39" s="68"/>
      <c r="R39" s="68"/>
      <c r="U39" s="5">
        <v>1</v>
      </c>
      <c r="V39" s="6">
        <v>1</v>
      </c>
    </row>
    <row r="40" spans="1:22" x14ac:dyDescent="0.25">
      <c r="A40" s="79" t="s">
        <v>220</v>
      </c>
      <c r="B40" s="83">
        <v>0</v>
      </c>
      <c r="C40" s="84">
        <v>0</v>
      </c>
      <c r="D40" s="83">
        <v>1</v>
      </c>
      <c r="E40" s="68">
        <f t="shared" si="0"/>
        <v>5</v>
      </c>
      <c r="F40" s="84">
        <f t="shared" si="1"/>
        <v>2.5</v>
      </c>
      <c r="Q40" s="68"/>
      <c r="R40" s="68"/>
      <c r="U40" s="5">
        <v>3</v>
      </c>
      <c r="V40" s="6">
        <v>2</v>
      </c>
    </row>
    <row r="41" spans="1:22" x14ac:dyDescent="0.25">
      <c r="A41" s="79" t="s">
        <v>221</v>
      </c>
      <c r="B41" s="83">
        <v>0</v>
      </c>
      <c r="C41" s="84">
        <v>0</v>
      </c>
      <c r="D41" s="83">
        <v>0</v>
      </c>
      <c r="E41" s="68">
        <f t="shared" si="0"/>
        <v>0</v>
      </c>
      <c r="F41" s="84" t="e">
        <f t="shared" si="1"/>
        <v>#DIV/0!</v>
      </c>
      <c r="Q41" s="68"/>
      <c r="R41" s="68"/>
    </row>
    <row r="42" spans="1:22" x14ac:dyDescent="0.25">
      <c r="A42" s="79" t="s">
        <v>222</v>
      </c>
      <c r="B42" s="83">
        <v>0</v>
      </c>
      <c r="C42" s="84">
        <v>0</v>
      </c>
      <c r="D42" s="83">
        <v>0</v>
      </c>
      <c r="E42" s="68">
        <f t="shared" si="0"/>
        <v>0</v>
      </c>
      <c r="F42" s="84" t="e">
        <f t="shared" si="1"/>
        <v>#DIV/0!</v>
      </c>
      <c r="Q42" s="68"/>
      <c r="R42" s="68"/>
    </row>
    <row r="43" spans="1:22" x14ac:dyDescent="0.25">
      <c r="A43" s="79" t="s">
        <v>223</v>
      </c>
      <c r="B43" s="83">
        <v>0</v>
      </c>
      <c r="C43" s="84">
        <v>0</v>
      </c>
      <c r="D43" s="83">
        <v>0</v>
      </c>
      <c r="E43" s="68">
        <f t="shared" si="0"/>
        <v>0</v>
      </c>
      <c r="F43" s="84" t="e">
        <f t="shared" si="1"/>
        <v>#DIV/0!</v>
      </c>
      <c r="Q43" s="68"/>
      <c r="R43" s="68"/>
    </row>
    <row r="44" spans="1:22" x14ac:dyDescent="0.25">
      <c r="A44" s="79" t="s">
        <v>224</v>
      </c>
      <c r="B44" s="83">
        <v>0</v>
      </c>
      <c r="C44" s="84">
        <v>0</v>
      </c>
      <c r="D44" s="83">
        <v>0</v>
      </c>
      <c r="E44" s="68">
        <f t="shared" si="0"/>
        <v>0</v>
      </c>
      <c r="F44" s="84" t="e">
        <f t="shared" si="1"/>
        <v>#DIV/0!</v>
      </c>
      <c r="Q44" s="68"/>
      <c r="R44" s="68"/>
    </row>
    <row r="45" spans="1:22" x14ac:dyDescent="0.25">
      <c r="A45" s="79" t="s">
        <v>225</v>
      </c>
      <c r="B45" s="83">
        <v>0</v>
      </c>
      <c r="C45" s="84">
        <v>0</v>
      </c>
      <c r="D45" s="83">
        <v>0</v>
      </c>
      <c r="E45" s="68">
        <f t="shared" si="0"/>
        <v>0</v>
      </c>
      <c r="F45" s="84" t="e">
        <f t="shared" si="1"/>
        <v>#DIV/0!</v>
      </c>
      <c r="Q45" s="68"/>
      <c r="R45" s="6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CWL 1</vt:lpstr>
      <vt:lpstr>CWL 2</vt:lpstr>
      <vt:lpstr>CWL 3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2026-01-16T13:20:05Z</dcterms:modified>
</cp:coreProperties>
</file>