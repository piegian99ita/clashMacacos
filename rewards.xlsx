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6771D845-7C2A-4D47-9B48-AE96506D9439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CWL 1" sheetId="1" r:id="rId1"/>
    <sheet name="CWL 2" sheetId="2" r:id="rId2"/>
    <sheet name="CWL 3" sheetId="3" r:id="rId3"/>
    <sheet name="CWL 4" sheetId="7" r:id="rId4"/>
    <sheet name="avv" sheetId="4" r:id="rId5"/>
    <sheet name="partecipanti" sheetId="5" r:id="rId6"/>
    <sheet name="wars" sheetId="6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6" l="1"/>
  <c r="F33" i="6"/>
  <c r="F34" i="6"/>
  <c r="F35" i="6"/>
  <c r="F38" i="6"/>
  <c r="F41" i="6"/>
  <c r="F47" i="6"/>
  <c r="F51" i="6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9" i="6"/>
  <c r="F21" i="6"/>
  <c r="F22" i="6"/>
  <c r="F24" i="6"/>
  <c r="F26" i="6"/>
  <c r="F27" i="6"/>
  <c r="F29" i="6"/>
  <c r="F30" i="6"/>
  <c r="F32" i="6"/>
  <c r="F39" i="6"/>
  <c r="F40" i="6"/>
  <c r="F42" i="6"/>
  <c r="F43" i="6"/>
  <c r="F44" i="6"/>
  <c r="F45" i="6"/>
  <c r="F46" i="6"/>
  <c r="F48" i="6"/>
  <c r="F49" i="6"/>
  <c r="F50" i="6"/>
  <c r="F20" i="6"/>
  <c r="F36" i="6"/>
  <c r="F18" i="6"/>
  <c r="F37" i="6"/>
  <c r="F23" i="6"/>
  <c r="F25" i="6"/>
  <c r="F28" i="6"/>
  <c r="E14" i="6"/>
  <c r="E9" i="6"/>
  <c r="E40" i="6"/>
  <c r="E17" i="6"/>
  <c r="E6" i="6"/>
  <c r="E20" i="6"/>
  <c r="E36" i="6"/>
  <c r="E19" i="6"/>
  <c r="E25" i="6"/>
  <c r="E7" i="6"/>
  <c r="E46" i="6"/>
  <c r="E3" i="6"/>
  <c r="E51" i="6"/>
  <c r="E8" i="6"/>
  <c r="E50" i="6"/>
  <c r="E48" i="6"/>
  <c r="E47" i="6"/>
  <c r="E45" i="6"/>
  <c r="E44" i="6"/>
  <c r="E43" i="6"/>
  <c r="E42" i="6"/>
  <c r="E39" i="6"/>
  <c r="E38" i="6"/>
  <c r="E35" i="6"/>
  <c r="E33" i="6"/>
  <c r="E32" i="6"/>
  <c r="E30" i="6"/>
  <c r="E29" i="6"/>
  <c r="E28" i="6"/>
  <c r="E27" i="6"/>
  <c r="E24" i="6"/>
  <c r="E23" i="6"/>
  <c r="E22" i="6"/>
  <c r="E21" i="6"/>
  <c r="E18" i="6"/>
  <c r="E15" i="6"/>
  <c r="E12" i="6"/>
  <c r="E11" i="6"/>
  <c r="E10" i="6"/>
  <c r="E5" i="6"/>
  <c r="E4" i="6"/>
  <c r="E41" i="6"/>
  <c r="E37" i="6"/>
  <c r="E34" i="6"/>
  <c r="E49" i="6"/>
  <c r="E31" i="6"/>
  <c r="E26" i="6"/>
  <c r="E13" i="6"/>
  <c r="E2" i="6"/>
  <c r="E16" i="6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<sst xmlns="http://schemas.openxmlformats.org/spreadsheetml/2006/main" count="605" uniqueCount="251">
  <si>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</si>
  <si>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</si>
  <si>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</si>
  <si>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</si>
  <si>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</si>
  <si>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</si>
  <si>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</si>
  <si>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</si>
  <si>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</si>
  <si>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</si>
  <si>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</si>
  <si>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</si>
  <si>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</si>
  <si>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</si>
  <si>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</si>
  <si>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</si>
  <si>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</si>
  <si>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</si>
  <si>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</si>
  <si>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</si>
  <si>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</si>
  <si>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</si>
  <si>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</si>
  <si>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</si>
  <si>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</si>
  <si>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</si>
  <si>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</si>
  <si>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</si>
  <si>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</si>
  <si>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</si>
  <si>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</si>
  <si>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</si>
  <si>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</si>
  <si>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</si>
  <si>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</si>
  <si>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</si>
  <si>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</si>
  <si>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</si>
  <si>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</si>
  <si>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</si>
  <si>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</si>
  <si>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</si>
  <si>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</si>
  <si>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</si>
  <si>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</si>
  <si>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</si>
  <si>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</si>
  <si>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</si>
  <si>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</si>
  <si>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</si>
  <si>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</si>
  <si>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</si>
  <si>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</si>
  <si>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</si>
  <si>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</si>
  <si>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</si>
  <si>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</si>
  <si>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</si>
  <si>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</si>
  <si>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</si>
  <si>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</si>
  <si>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</si>
  <si>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</si>
  <si>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</si>
  <si>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</si>
  <si>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</si>
  <si>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</si>
  <si>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</si>
  <si>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</si>
  <si>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</si>
  <si>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</si>
  <si>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</si>
  <si>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</si>
  <si>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</si>
  <si>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</si>
  <si>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</si>
  <si>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</si>
  <si>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</si>
  <si>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</si>
  <si>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</si>
  <si>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</si>
  <si>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</si>
  <si>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</si>
  <si>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</si>
  <si>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</si>
  <si>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</si>
  <si>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</si>
  <si>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</si>
  <si>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</si>
  <si>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</si>
  <si>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</si>
  <si>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</si>
  <si>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</si>
  <si>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</si>
  <si>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>Dado</t>
  </si>
  <si>
    <t>Ale22</t>
  </si>
  <si>
    <t>Chabby</t>
  </si>
  <si>
    <t>dela</t>
  </si>
  <si>
    <t>Cleopatra</t>
  </si>
  <si>
    <t>edododo</t>
  </si>
  <si>
    <t>nik</t>
  </si>
  <si>
    <t>Giosan</t>
  </si>
  <si>
    <t>buff x bow</t>
  </si>
  <si>
    <t>christian</t>
  </si>
  <si>
    <t>Leo</t>
  </si>
  <si>
    <t>Giorgio</t>
  </si>
  <si>
    <t>king</t>
  </si>
  <si>
    <t>fabio</t>
  </si>
  <si>
    <t>Loris</t>
  </si>
  <si>
    <t>daniele</t>
  </si>
  <si>
    <t>Omar</t>
  </si>
  <si>
    <t>serra</t>
  </si>
  <si>
    <t>federico99</t>
  </si>
  <si>
    <t>Robby</t>
  </si>
  <si>
    <t>sidcu js</t>
  </si>
  <si>
    <t>lord pucci</t>
  </si>
  <si>
    <t>zine</t>
  </si>
  <si>
    <t>danielpica</t>
  </si>
  <si>
    <t>Staenta</t>
  </si>
  <si>
    <t>loris</t>
  </si>
  <si>
    <t>subohm</t>
  </si>
  <si>
    <t>Xblade</t>
  </si>
  <si>
    <t>xnullx</t>
  </si>
  <si>
    <t>queen of shadow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</si>
  <si>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</si>
  <si>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</si>
  <si>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</si>
  <si>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</si>
  <si>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</si>
  <si>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</si>
  <si>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</si>
  <si>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</si>
  <si>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</si>
  <si>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</si>
  <si>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</si>
  <si>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</si>
  <si>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</si>
  <si>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</si>
  <si>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</si>
  <si>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</si>
  <si>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</si>
  <si>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</si>
  <si>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</si>
  <si>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</si>
  <si>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</si>
  <si>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</si>
  <si>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</si>
  <si>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</si>
  <si>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</si>
  <si>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</si>
  <si>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</si>
  <si>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</si>
  <si>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</si>
  <si>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</si>
  <si>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</si>
  <si>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</si>
  <si>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</si>
  <si>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</si>
  <si>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</si>
  <si>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</si>
  <si>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</si>
  <si>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</si>
  <si>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</si>
  <si>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</si>
  <si>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</si>
  <si>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</si>
  <si>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</si>
  <si>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</si>
  <si>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</si>
  <si>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</si>
  <si>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</si>
  <si>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</si>
  <si>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</si>
  <si>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</si>
  <si>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</si>
  <si>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</si>
  <si>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</si>
  <si>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</si>
  <si>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</si>
  <si>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</si>
  <si>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</si>
  <si>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</si>
  <si>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</si>
  <si>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</si>
  <si>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</si>
  <si>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</si>
  <si>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</si>
  <si>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</si>
  <si>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</si>
  <si>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</si>
  <si>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</si>
  <si>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</si>
  <si>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</si>
  <si>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</si>
  <si>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</si>
  <si>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</si>
  <si>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</si>
  <si>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</si>
  <si>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</si>
  <si>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</si>
  <si>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</si>
  <si>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</si>
  <si>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</si>
  <si>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</si>
  <si>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</si>
  <si>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</si>
  <si>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</si>
  <si>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</si>
  <si>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</si>
  <si>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</si>
  <si>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revolver</t>
  </si>
  <si>
    <t>BigMc23</t>
  </si>
  <si>
    <t>buff x-bow</t>
  </si>
  <si>
    <t>EdoDodo</t>
  </si>
  <si>
    <t>Stentaaa</t>
  </si>
  <si>
    <t>andriu07</t>
  </si>
  <si>
    <t>zordan</t>
  </si>
  <si>
    <t>655321</t>
  </si>
  <si>
    <t>tazio</t>
  </si>
  <si>
    <t>alhfmfh</t>
  </si>
  <si>
    <t>GioStyle</t>
  </si>
  <si>
    <t>francesco</t>
  </si>
  <si>
    <t>PIPPII</t>
  </si>
  <si>
    <t>Fryck</t>
  </si>
  <si>
    <t>alesofi</t>
  </si>
  <si>
    <t>fabiovesco</t>
  </si>
  <si>
    <t>sammesc</t>
  </si>
  <si>
    <t>Anton 48</t>
  </si>
  <si>
    <t>DARKGOST9</t>
  </si>
  <si>
    <t>WAR-12 (2)</t>
  </si>
  <si>
    <t>WAR-12(1)</t>
  </si>
  <si>
    <t>WAR-13 (1)</t>
  </si>
  <si>
    <t>WAR-13 (2)</t>
  </si>
  <si>
    <t xml:space="preserve"> </t>
  </si>
  <si>
    <t>CWL 4</t>
  </si>
  <si>
    <t xml:space="preserve">dado        </t>
  </si>
  <si>
    <t xml:space="preserve">Ale22       </t>
  </si>
  <si>
    <t xml:space="preserve">piegian99   </t>
  </si>
  <si>
    <t xml:space="preserve">Stentaaa    </t>
  </si>
  <si>
    <t xml:space="preserve">zordan      </t>
  </si>
  <si>
    <t xml:space="preserve">Luigi       </t>
  </si>
  <si>
    <t xml:space="preserve">PIPPII      </t>
  </si>
  <si>
    <t xml:space="preserve">HikariNoRob </t>
  </si>
  <si>
    <t xml:space="preserve">pigiamone99 </t>
  </si>
  <si>
    <t xml:space="preserve">revolver    </t>
  </si>
  <si>
    <t xml:space="preserve">haha        </t>
  </si>
  <si>
    <t>LucFir3</t>
  </si>
  <si>
    <t>The_Boff01</t>
  </si>
  <si>
    <t>Kle</t>
  </si>
  <si>
    <t>Killer46</t>
  </si>
  <si>
    <t>Rixxy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</si>
</sst>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1" borderId="0" xfId="0" applyFill="1"/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0" xfId="0" applyFill="1" applyAlignment="1">
      <alignment horizontal="center" vertical="top"/>
    </xf>
    <xf numFmtId="0" fontId="0" fillId="0" borderId="7" xfId="0" applyFill="1" applyBorder="1" applyAlignment="1">
      <alignment horizontal="center" vertical="top"/>
    </xf>
    <xf numFmtId="0" fontId="0" fillId="0" borderId="2" xfId="0" applyFill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0" fillId="0" borderId="0" xfId="0" applyFill="1"/>
    <xf numFmtId="0" fontId="0" fillId="0" borderId="7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3" fillId="0" borderId="2" xfId="0" applyFont="1" applyFill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3" width="9.140625" style="4" customWidth="1"/>
    <col min="34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7" width="9.140625" style="39" customWidth="1"/>
    <col min="28" max="16384" width="9.140625" style="39"/>
  </cols>
  <sheetData>
    <row r="1" spans="1:23" ht="15.75" customHeight="1" thickBot="1" x14ac:dyDescent="0.3">
      <c r="B1" s="61"/>
      <c r="C1" s="115">
        <v>1</v>
      </c>
      <c r="D1" s="116"/>
      <c r="E1" s="117"/>
      <c r="F1" s="115">
        <v>2</v>
      </c>
      <c r="G1" s="116"/>
      <c r="H1" s="117"/>
      <c r="I1" s="115">
        <v>3</v>
      </c>
      <c r="J1" s="116"/>
      <c r="K1" s="117"/>
      <c r="L1" s="115">
        <v>4</v>
      </c>
      <c r="M1" s="116"/>
      <c r="N1" s="117"/>
      <c r="O1" s="115">
        <v>5</v>
      </c>
      <c r="P1" s="116"/>
      <c r="Q1" s="117"/>
      <c r="R1" s="115">
        <v>6</v>
      </c>
      <c r="S1" s="116"/>
      <c r="T1" s="117"/>
      <c r="U1" s="115">
        <v>7</v>
      </c>
      <c r="V1" s="116"/>
      <c r="W1" s="117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W52" sqref="A1:W52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15">
        <v>1</v>
      </c>
      <c r="D1" s="116"/>
      <c r="E1" s="117"/>
      <c r="F1" s="115">
        <v>2</v>
      </c>
      <c r="G1" s="116"/>
      <c r="H1" s="117"/>
      <c r="I1" s="115">
        <v>3</v>
      </c>
      <c r="J1" s="116"/>
      <c r="K1" s="117"/>
      <c r="L1" s="115">
        <v>4</v>
      </c>
      <c r="M1" s="116"/>
      <c r="N1" s="117"/>
      <c r="O1" s="115">
        <v>5</v>
      </c>
      <c r="P1" s="116"/>
      <c r="Q1" s="117"/>
      <c r="R1" s="115">
        <v>6</v>
      </c>
      <c r="S1" s="116"/>
      <c r="T1" s="117"/>
      <c r="U1" s="115">
        <v>7</v>
      </c>
      <c r="V1" s="116"/>
      <c r="W1" s="117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74113-8A7C-40E3-9BFC-52E970F128CC}">
  <dimension ref="A1:W52"/>
  <sheetViews>
    <sheetView tabSelected="1" workbookViewId="0">
      <selection activeCell="A35" sqref="A35:XFD43"/>
    </sheetView>
  </sheetViews>
  <sheetFormatPr defaultRowHeight="15" x14ac:dyDescent="0.25"/>
  <cols>
    <col min="2" max="2" width="16.7109375" customWidth="1"/>
  </cols>
  <sheetData>
    <row r="1" spans="1:23" ht="15.75" thickBot="1" x14ac:dyDescent="0.3">
      <c r="A1" s="39"/>
      <c r="B1" s="61"/>
      <c r="C1" s="115">
        <v>1</v>
      </c>
      <c r="D1" s="116"/>
      <c r="E1" s="117"/>
      <c r="F1" s="115">
        <v>2</v>
      </c>
      <c r="G1" s="116"/>
      <c r="H1" s="117"/>
      <c r="I1" s="115">
        <v>3</v>
      </c>
      <c r="J1" s="116"/>
      <c r="K1" s="117"/>
      <c r="L1" s="115">
        <v>4</v>
      </c>
      <c r="M1" s="116"/>
      <c r="N1" s="117"/>
      <c r="O1" s="115">
        <v>5</v>
      </c>
      <c r="P1" s="116"/>
      <c r="Q1" s="117"/>
      <c r="R1" s="115">
        <v>6</v>
      </c>
      <c r="S1" s="116"/>
      <c r="T1" s="117"/>
      <c r="U1" s="115">
        <v>7</v>
      </c>
      <c r="V1" s="116"/>
      <c r="W1" s="117"/>
    </row>
    <row r="2" spans="1:23" ht="15.75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s="123" customFormat="1" x14ac:dyDescent="0.25">
      <c r="A3" s="119">
        <v>16</v>
      </c>
      <c r="B3" s="120" t="s">
        <v>57</v>
      </c>
      <c r="C3" s="119"/>
      <c r="D3" s="119"/>
      <c r="E3" s="121"/>
      <c r="F3" s="122"/>
      <c r="G3" s="119"/>
      <c r="H3" s="121"/>
      <c r="I3" s="122"/>
      <c r="J3" s="119"/>
      <c r="K3" s="121"/>
      <c r="L3" s="122"/>
      <c r="M3" s="119"/>
      <c r="N3" s="121"/>
      <c r="O3" s="122"/>
      <c r="P3" s="119"/>
      <c r="Q3" s="121"/>
      <c r="R3" s="122"/>
      <c r="S3" s="119"/>
      <c r="T3" s="119"/>
      <c r="U3" s="122"/>
      <c r="V3" s="119"/>
      <c r="W3" s="121"/>
    </row>
    <row r="4" spans="1:23" s="123" customFormat="1" x14ac:dyDescent="0.25">
      <c r="A4" s="119">
        <v>15</v>
      </c>
      <c r="B4" s="120" t="s">
        <v>58</v>
      </c>
      <c r="C4" s="119"/>
      <c r="D4" s="119"/>
      <c r="E4" s="121"/>
      <c r="F4" s="122"/>
      <c r="G4" s="119"/>
      <c r="H4" s="121"/>
      <c r="I4" s="122"/>
      <c r="J4" s="119"/>
      <c r="K4" s="121"/>
      <c r="L4" s="122"/>
      <c r="M4" s="119"/>
      <c r="N4" s="121"/>
      <c r="O4" s="122"/>
      <c r="P4" s="119"/>
      <c r="Q4" s="121"/>
      <c r="R4" s="122"/>
      <c r="S4" s="119"/>
      <c r="T4" s="119"/>
      <c r="U4" s="122"/>
      <c r="V4" s="119"/>
      <c r="W4" s="121"/>
    </row>
    <row r="5" spans="1:23" s="123" customFormat="1" x14ac:dyDescent="0.25">
      <c r="A5" s="119">
        <v>14</v>
      </c>
      <c r="B5" s="120" t="s">
        <v>59</v>
      </c>
      <c r="C5" s="119"/>
      <c r="D5" s="119"/>
      <c r="E5" s="121"/>
      <c r="F5" s="122"/>
      <c r="G5" s="119"/>
      <c r="H5" s="121"/>
      <c r="I5" s="122"/>
      <c r="J5" s="119"/>
      <c r="K5" s="121"/>
      <c r="L5" s="122"/>
      <c r="M5" s="119"/>
      <c r="N5" s="121"/>
      <c r="O5" s="122"/>
      <c r="P5" s="119"/>
      <c r="Q5" s="121"/>
      <c r="R5" s="122"/>
      <c r="S5" s="119"/>
      <c r="T5" s="119"/>
      <c r="U5" s="122"/>
      <c r="V5" s="119"/>
      <c r="W5" s="121"/>
    </row>
    <row r="6" spans="1:23" s="123" customFormat="1" x14ac:dyDescent="0.25">
      <c r="A6" s="119">
        <v>14</v>
      </c>
      <c r="B6" s="120" t="s">
        <v>60</v>
      </c>
      <c r="C6" s="119"/>
      <c r="D6" s="119"/>
      <c r="E6" s="121"/>
      <c r="F6" s="122"/>
      <c r="G6" s="119"/>
      <c r="H6" s="121"/>
      <c r="I6" s="122"/>
      <c r="J6" s="119"/>
      <c r="K6" s="121"/>
      <c r="L6" s="122"/>
      <c r="M6" s="119"/>
      <c r="N6" s="121"/>
      <c r="O6" s="122"/>
      <c r="P6" s="119"/>
      <c r="Q6" s="121"/>
      <c r="R6" s="122"/>
      <c r="S6" s="119"/>
      <c r="T6" s="119"/>
      <c r="U6" s="122"/>
      <c r="V6" s="119"/>
      <c r="W6" s="121"/>
    </row>
    <row r="7" spans="1:23" s="123" customFormat="1" x14ac:dyDescent="0.25">
      <c r="A7" s="119">
        <v>14</v>
      </c>
      <c r="B7" s="120" t="s">
        <v>10</v>
      </c>
      <c r="C7" s="119"/>
      <c r="D7" s="119"/>
      <c r="E7" s="121"/>
      <c r="F7" s="122"/>
      <c r="G7" s="119"/>
      <c r="H7" s="121"/>
      <c r="I7" s="122"/>
      <c r="J7" s="119"/>
      <c r="K7" s="121"/>
      <c r="L7" s="122"/>
      <c r="M7" s="119"/>
      <c r="N7" s="121"/>
      <c r="O7" s="122"/>
      <c r="P7" s="119"/>
      <c r="Q7" s="121"/>
      <c r="R7" s="122"/>
      <c r="S7" s="119"/>
      <c r="T7" s="119"/>
      <c r="U7" s="122"/>
      <c r="V7" s="119"/>
      <c r="W7" s="121"/>
    </row>
    <row r="8" spans="1:23" s="123" customFormat="1" x14ac:dyDescent="0.25">
      <c r="A8" s="119">
        <v>13</v>
      </c>
      <c r="B8" s="120" t="s">
        <v>61</v>
      </c>
      <c r="C8" s="119"/>
      <c r="D8" s="119"/>
      <c r="E8" s="121"/>
      <c r="F8" s="122"/>
      <c r="G8" s="119"/>
      <c r="H8" s="121"/>
      <c r="I8" s="122"/>
      <c r="J8" s="119"/>
      <c r="K8" s="121"/>
      <c r="L8" s="122"/>
      <c r="M8" s="119"/>
      <c r="N8" s="121"/>
      <c r="O8" s="122"/>
      <c r="P8" s="119"/>
      <c r="Q8" s="121"/>
      <c r="R8" s="122"/>
      <c r="S8" s="119"/>
      <c r="T8" s="119"/>
      <c r="U8" s="122"/>
      <c r="V8" s="119"/>
      <c r="W8" s="121"/>
    </row>
    <row r="9" spans="1:23" s="123" customFormat="1" x14ac:dyDescent="0.25">
      <c r="A9" s="119">
        <v>13</v>
      </c>
      <c r="B9" s="120" t="s">
        <v>62</v>
      </c>
      <c r="C9" s="119"/>
      <c r="D9" s="119"/>
      <c r="E9" s="121"/>
      <c r="F9" s="122"/>
      <c r="G9" s="119"/>
      <c r="H9" s="121"/>
      <c r="I9" s="122"/>
      <c r="J9" s="119"/>
      <c r="K9" s="121"/>
      <c r="L9" s="122"/>
      <c r="M9" s="119"/>
      <c r="N9" s="121"/>
      <c r="O9" s="122"/>
      <c r="P9" s="119"/>
      <c r="Q9" s="121"/>
      <c r="R9" s="122"/>
      <c r="S9" s="119"/>
      <c r="T9" s="119"/>
      <c r="U9" s="122"/>
      <c r="V9" s="119"/>
      <c r="W9" s="121"/>
    </row>
    <row r="10" spans="1:23" s="123" customFormat="1" x14ac:dyDescent="0.25">
      <c r="A10" s="119">
        <v>13</v>
      </c>
      <c r="B10" s="120" t="s">
        <v>63</v>
      </c>
      <c r="C10" s="119"/>
      <c r="D10" s="119"/>
      <c r="E10" s="121"/>
      <c r="F10" s="122"/>
      <c r="G10" s="119"/>
      <c r="H10" s="121"/>
      <c r="I10" s="122"/>
      <c r="J10" s="119"/>
      <c r="K10" s="121"/>
      <c r="L10" s="122"/>
      <c r="M10" s="119"/>
      <c r="N10" s="121"/>
      <c r="O10" s="122"/>
      <c r="P10" s="119"/>
      <c r="Q10" s="121"/>
      <c r="R10" s="122"/>
      <c r="S10" s="119"/>
      <c r="T10" s="119"/>
      <c r="U10" s="122"/>
      <c r="V10" s="119"/>
      <c r="W10" s="121"/>
    </row>
    <row r="11" spans="1:23" s="123" customFormat="1" x14ac:dyDescent="0.25">
      <c r="A11" s="119">
        <v>13</v>
      </c>
      <c r="B11" s="120" t="s">
        <v>64</v>
      </c>
      <c r="C11" s="119"/>
      <c r="D11" s="119"/>
      <c r="E11" s="121"/>
      <c r="F11" s="119"/>
      <c r="G11" s="119"/>
      <c r="H11" s="119"/>
      <c r="I11" s="122"/>
      <c r="J11" s="119"/>
      <c r="K11" s="121"/>
      <c r="L11" s="122"/>
      <c r="M11" s="119"/>
      <c r="N11" s="121"/>
      <c r="O11" s="122"/>
      <c r="P11" s="119"/>
      <c r="Q11" s="121"/>
      <c r="R11" s="122"/>
      <c r="S11" s="119"/>
      <c r="T11" s="119"/>
      <c r="U11" s="122"/>
      <c r="V11" s="119"/>
      <c r="W11" s="121"/>
    </row>
    <row r="12" spans="1:23" s="123" customFormat="1" x14ac:dyDescent="0.25">
      <c r="A12" s="119">
        <v>13</v>
      </c>
      <c r="B12" s="120" t="s">
        <v>65</v>
      </c>
      <c r="C12" s="119"/>
      <c r="D12" s="119"/>
      <c r="E12" s="121"/>
      <c r="F12" s="119"/>
      <c r="G12" s="119"/>
      <c r="H12" s="119"/>
      <c r="I12" s="122"/>
      <c r="J12" s="119"/>
      <c r="K12" s="121"/>
      <c r="L12" s="122"/>
      <c r="M12" s="119"/>
      <c r="N12" s="121"/>
      <c r="O12" s="122"/>
      <c r="P12" s="119"/>
      <c r="Q12" s="121"/>
      <c r="R12" s="122"/>
      <c r="S12" s="119"/>
      <c r="T12" s="119"/>
      <c r="U12" s="122"/>
      <c r="V12" s="119"/>
      <c r="W12" s="121"/>
    </row>
    <row r="13" spans="1:23" s="123" customFormat="1" x14ac:dyDescent="0.25">
      <c r="A13" s="119">
        <v>13</v>
      </c>
      <c r="B13" s="124" t="s">
        <v>66</v>
      </c>
      <c r="C13" s="119"/>
      <c r="D13" s="119"/>
      <c r="E13" s="121"/>
      <c r="F13" s="122"/>
      <c r="G13" s="119"/>
      <c r="H13" s="121"/>
      <c r="I13" s="122"/>
      <c r="J13" s="119"/>
      <c r="K13" s="121"/>
      <c r="L13" s="122"/>
      <c r="M13" s="119"/>
      <c r="N13" s="121"/>
      <c r="O13" s="122"/>
      <c r="P13" s="119"/>
      <c r="Q13" s="121"/>
      <c r="R13" s="122"/>
      <c r="S13" s="119"/>
      <c r="T13" s="119"/>
      <c r="U13" s="122"/>
      <c r="V13" s="119"/>
      <c r="W13" s="121"/>
    </row>
    <row r="14" spans="1:23" s="123" customFormat="1" x14ac:dyDescent="0.25">
      <c r="A14" s="119">
        <v>13</v>
      </c>
      <c r="B14" s="120" t="s">
        <v>67</v>
      </c>
      <c r="C14" s="119"/>
      <c r="D14" s="119"/>
      <c r="E14" s="121"/>
      <c r="F14" s="122"/>
      <c r="G14" s="119"/>
      <c r="H14" s="121"/>
      <c r="I14" s="122"/>
      <c r="J14" s="119"/>
      <c r="K14" s="121"/>
      <c r="L14" s="122"/>
      <c r="M14" s="119"/>
      <c r="N14" s="121"/>
      <c r="O14" s="122"/>
      <c r="P14" s="119"/>
      <c r="Q14" s="121"/>
      <c r="R14" s="122"/>
      <c r="S14" s="119"/>
      <c r="T14" s="119"/>
      <c r="U14" s="122"/>
      <c r="V14" s="119"/>
      <c r="W14" s="121"/>
    </row>
    <row r="15" spans="1:23" s="123" customFormat="1" x14ac:dyDescent="0.25">
      <c r="A15" s="119">
        <v>13</v>
      </c>
      <c r="B15" s="120" t="s">
        <v>68</v>
      </c>
      <c r="C15" s="119"/>
      <c r="D15" s="119"/>
      <c r="E15" s="121"/>
      <c r="F15" s="122"/>
      <c r="G15" s="119"/>
      <c r="H15" s="121"/>
      <c r="I15" s="122"/>
      <c r="J15" s="119"/>
      <c r="K15" s="121"/>
      <c r="L15" s="122"/>
      <c r="M15" s="119"/>
      <c r="N15" s="121"/>
      <c r="O15" s="122"/>
      <c r="P15" s="119"/>
      <c r="Q15" s="121"/>
      <c r="R15" s="122"/>
      <c r="S15" s="119"/>
      <c r="T15" s="119"/>
      <c r="U15" s="122"/>
      <c r="V15" s="119"/>
      <c r="W15" s="121"/>
    </row>
    <row r="16" spans="1:23" s="123" customFormat="1" x14ac:dyDescent="0.25">
      <c r="A16" s="119">
        <v>13</v>
      </c>
      <c r="B16" s="120" t="s">
        <v>13</v>
      </c>
      <c r="C16" s="119"/>
      <c r="D16" s="119"/>
      <c r="E16" s="121"/>
      <c r="F16" s="122"/>
      <c r="G16" s="119"/>
      <c r="H16" s="121"/>
      <c r="I16" s="122"/>
      <c r="J16" s="119"/>
      <c r="K16" s="121"/>
      <c r="L16" s="122"/>
      <c r="M16" s="119"/>
      <c r="N16" s="121"/>
      <c r="O16" s="122"/>
      <c r="P16" s="119"/>
      <c r="Q16" s="121"/>
      <c r="R16" s="122"/>
      <c r="S16" s="119"/>
      <c r="T16" s="119"/>
      <c r="U16" s="122"/>
      <c r="V16" s="119"/>
      <c r="W16" s="121"/>
    </row>
    <row r="17" spans="1:23" s="123" customFormat="1" x14ac:dyDescent="0.25">
      <c r="A17" s="119">
        <v>13</v>
      </c>
      <c r="B17" s="120" t="s">
        <v>69</v>
      </c>
      <c r="C17" s="119"/>
      <c r="D17" s="119"/>
      <c r="E17" s="121"/>
      <c r="F17" s="122"/>
      <c r="G17" s="119"/>
      <c r="H17" s="121"/>
      <c r="I17" s="122"/>
      <c r="J17" s="119"/>
      <c r="K17" s="121"/>
      <c r="L17" s="122"/>
      <c r="M17" s="119"/>
      <c r="N17" s="121"/>
      <c r="O17" s="122"/>
      <c r="P17" s="119"/>
      <c r="Q17" s="121"/>
      <c r="R17" s="122"/>
      <c r="S17" s="119"/>
      <c r="T17" s="119"/>
      <c r="U17" s="122"/>
      <c r="V17" s="119"/>
      <c r="W17" s="121"/>
    </row>
    <row r="18" spans="1:23" s="123" customFormat="1" x14ac:dyDescent="0.25">
      <c r="A18" s="119">
        <v>13</v>
      </c>
      <c r="B18" s="120" t="s">
        <v>20</v>
      </c>
      <c r="C18" s="119"/>
      <c r="D18" s="119"/>
      <c r="E18" s="121"/>
      <c r="F18" s="122"/>
      <c r="G18" s="119"/>
      <c r="H18" s="121"/>
      <c r="I18" s="122"/>
      <c r="J18" s="119"/>
      <c r="K18" s="121"/>
      <c r="L18" s="122"/>
      <c r="M18" s="119"/>
      <c r="N18" s="121"/>
      <c r="O18" s="122"/>
      <c r="P18" s="119"/>
      <c r="Q18" s="121"/>
      <c r="R18" s="122"/>
      <c r="S18" s="119"/>
      <c r="T18" s="119"/>
      <c r="U18" s="122"/>
      <c r="V18" s="119"/>
      <c r="W18" s="121"/>
    </row>
    <row r="19" spans="1:23" s="123" customFormat="1" x14ac:dyDescent="0.25">
      <c r="A19" s="119">
        <v>13</v>
      </c>
      <c r="B19" s="120" t="s">
        <v>70</v>
      </c>
      <c r="C19" s="119"/>
      <c r="D19" s="119"/>
      <c r="E19" s="121"/>
      <c r="F19" s="122"/>
      <c r="G19" s="119"/>
      <c r="H19" s="121"/>
      <c r="I19" s="119"/>
      <c r="J19" s="119"/>
      <c r="K19" s="119"/>
      <c r="L19" s="122"/>
      <c r="M19" s="119"/>
      <c r="N19" s="121"/>
      <c r="O19" s="119"/>
      <c r="P19" s="119"/>
      <c r="Q19" s="119"/>
      <c r="R19" s="122"/>
      <c r="S19" s="119"/>
      <c r="T19" s="119"/>
      <c r="U19" s="122"/>
      <c r="V19" s="119"/>
      <c r="W19" s="121"/>
    </row>
    <row r="20" spans="1:23" s="123" customFormat="1" x14ac:dyDescent="0.25">
      <c r="A20" s="119">
        <v>12</v>
      </c>
      <c r="B20" s="120" t="s">
        <v>16</v>
      </c>
      <c r="C20" s="119"/>
      <c r="D20" s="119"/>
      <c r="E20" s="121"/>
      <c r="F20" s="125"/>
      <c r="G20" s="119"/>
      <c r="H20" s="121"/>
      <c r="I20" s="122"/>
      <c r="J20" s="119"/>
      <c r="K20" s="121"/>
      <c r="L20" s="122"/>
      <c r="M20" s="119"/>
      <c r="N20" s="121"/>
      <c r="O20" s="122"/>
      <c r="P20" s="119"/>
      <c r="Q20" s="121"/>
      <c r="R20" s="122"/>
      <c r="S20" s="119"/>
      <c r="T20" s="119"/>
      <c r="U20" s="122"/>
      <c r="V20" s="119"/>
      <c r="W20" s="121"/>
    </row>
    <row r="21" spans="1:23" s="123" customFormat="1" x14ac:dyDescent="0.25">
      <c r="A21" s="119">
        <v>13</v>
      </c>
      <c r="B21" s="120" t="s">
        <v>71</v>
      </c>
      <c r="C21" s="119"/>
      <c r="D21" s="119"/>
      <c r="E21" s="121"/>
      <c r="F21" s="119"/>
      <c r="G21" s="119"/>
      <c r="H21" s="119"/>
      <c r="I21" s="122"/>
      <c r="J21" s="119"/>
      <c r="K21" s="121"/>
      <c r="L21" s="122"/>
      <c r="M21" s="119"/>
      <c r="N21" s="121"/>
      <c r="O21" s="122"/>
      <c r="P21" s="119"/>
      <c r="Q21" s="121"/>
      <c r="R21" s="122"/>
      <c r="S21" s="119"/>
      <c r="T21" s="119"/>
      <c r="U21" s="122"/>
      <c r="V21" s="119"/>
      <c r="W21" s="121"/>
    </row>
    <row r="22" spans="1:23" s="123" customFormat="1" x14ac:dyDescent="0.25">
      <c r="A22" s="119">
        <v>12</v>
      </c>
      <c r="B22" s="120" t="s">
        <v>22</v>
      </c>
      <c r="C22" s="119"/>
      <c r="D22" s="119"/>
      <c r="E22" s="121"/>
      <c r="F22" s="122"/>
      <c r="G22" s="119"/>
      <c r="H22" s="121"/>
      <c r="I22" s="122"/>
      <c r="J22" s="119"/>
      <c r="K22" s="121"/>
      <c r="L22" s="122"/>
      <c r="M22" s="119"/>
      <c r="N22" s="121"/>
      <c r="O22" s="122"/>
      <c r="P22" s="119"/>
      <c r="Q22" s="121"/>
      <c r="R22" s="122"/>
      <c r="S22" s="119"/>
      <c r="T22" s="119"/>
      <c r="U22" s="122"/>
      <c r="V22" s="119"/>
      <c r="W22" s="121"/>
    </row>
    <row r="23" spans="1:23" s="123" customFormat="1" x14ac:dyDescent="0.25">
      <c r="A23" s="119">
        <v>12</v>
      </c>
      <c r="B23" s="120" t="s">
        <v>45</v>
      </c>
      <c r="C23" s="119"/>
      <c r="D23" s="119"/>
      <c r="E23" s="121"/>
      <c r="F23" s="122"/>
      <c r="G23" s="119"/>
      <c r="H23" s="121"/>
      <c r="I23" s="122"/>
      <c r="J23" s="119"/>
      <c r="K23" s="126"/>
      <c r="L23" s="122"/>
      <c r="M23" s="119"/>
      <c r="N23" s="121"/>
      <c r="O23" s="122"/>
      <c r="P23" s="119"/>
      <c r="Q23" s="126"/>
      <c r="R23" s="122"/>
      <c r="S23" s="119"/>
      <c r="T23" s="119"/>
      <c r="U23" s="122"/>
      <c r="V23" s="119"/>
      <c r="W23" s="126"/>
    </row>
    <row r="24" spans="1:23" s="123" customFormat="1" x14ac:dyDescent="0.25">
      <c r="A24" s="119">
        <v>12</v>
      </c>
      <c r="B24" s="120" t="s">
        <v>72</v>
      </c>
      <c r="C24" s="119"/>
      <c r="D24" s="119"/>
      <c r="E24" s="121"/>
      <c r="F24" s="122"/>
      <c r="G24" s="119"/>
      <c r="H24" s="121"/>
      <c r="I24" s="122"/>
      <c r="J24" s="119"/>
      <c r="K24" s="121"/>
      <c r="L24" s="122"/>
      <c r="M24" s="119"/>
      <c r="N24" s="121"/>
      <c r="O24" s="122"/>
      <c r="P24" s="119"/>
      <c r="Q24" s="121"/>
      <c r="R24" s="122"/>
      <c r="S24" s="119"/>
      <c r="T24" s="119"/>
      <c r="U24" s="122"/>
      <c r="V24" s="119"/>
      <c r="W24" s="121"/>
    </row>
    <row r="25" spans="1:23" s="123" customFormat="1" x14ac:dyDescent="0.25">
      <c r="A25" s="119">
        <v>12</v>
      </c>
      <c r="B25" s="120" t="s">
        <v>73</v>
      </c>
      <c r="C25" s="119"/>
      <c r="D25" s="119"/>
      <c r="E25" s="121"/>
      <c r="F25" s="122"/>
      <c r="G25" s="119"/>
      <c r="H25" s="121"/>
      <c r="I25" s="122"/>
      <c r="J25" s="119"/>
      <c r="K25" s="121"/>
      <c r="L25" s="122"/>
      <c r="M25" s="119"/>
      <c r="N25" s="121"/>
      <c r="O25" s="122"/>
      <c r="P25" s="119"/>
      <c r="Q25" s="121"/>
      <c r="R25" s="122"/>
      <c r="S25" s="119"/>
      <c r="T25" s="119"/>
      <c r="U25" s="122"/>
      <c r="V25" s="119"/>
      <c r="W25" s="121"/>
    </row>
    <row r="26" spans="1:23" s="123" customFormat="1" x14ac:dyDescent="0.25">
      <c r="A26" s="119">
        <v>12</v>
      </c>
      <c r="B26" s="120" t="s">
        <v>74</v>
      </c>
      <c r="C26" s="119"/>
      <c r="D26" s="119"/>
      <c r="E26" s="121"/>
      <c r="F26" s="122"/>
      <c r="G26" s="119"/>
      <c r="H26" s="121"/>
      <c r="I26" s="119"/>
      <c r="J26" s="119"/>
      <c r="K26" s="119"/>
      <c r="L26" s="122"/>
      <c r="M26" s="119"/>
      <c r="N26" s="121"/>
      <c r="O26" s="119"/>
      <c r="P26" s="119"/>
      <c r="Q26" s="119"/>
      <c r="R26" s="122"/>
      <c r="S26" s="119"/>
      <c r="T26" s="119"/>
      <c r="U26" s="122"/>
      <c r="V26" s="119"/>
      <c r="W26" s="121"/>
    </row>
    <row r="27" spans="1:23" s="123" customFormat="1" x14ac:dyDescent="0.25">
      <c r="A27" s="119">
        <v>12</v>
      </c>
      <c r="B27" s="120" t="s">
        <v>47</v>
      </c>
      <c r="C27" s="119"/>
      <c r="D27" s="119"/>
      <c r="E27" s="121"/>
      <c r="F27" s="122"/>
      <c r="G27" s="119"/>
      <c r="H27" s="121"/>
      <c r="I27" s="122"/>
      <c r="J27" s="119"/>
      <c r="K27" s="121"/>
      <c r="L27" s="122"/>
      <c r="M27" s="119"/>
      <c r="N27" s="121"/>
      <c r="O27" s="122"/>
      <c r="P27" s="119"/>
      <c r="Q27" s="121"/>
      <c r="R27" s="122"/>
      <c r="S27" s="119"/>
      <c r="T27" s="119"/>
      <c r="U27" s="122"/>
      <c r="V27" s="119"/>
      <c r="W27" s="121"/>
    </row>
    <row r="28" spans="1:23" s="123" customFormat="1" x14ac:dyDescent="0.25">
      <c r="A28" s="119">
        <v>12</v>
      </c>
      <c r="B28" s="120" t="s">
        <v>76</v>
      </c>
      <c r="C28" s="119"/>
      <c r="D28" s="119"/>
      <c r="E28" s="121"/>
      <c r="F28" s="122"/>
      <c r="G28" s="119"/>
      <c r="H28" s="121"/>
      <c r="I28" s="122"/>
      <c r="J28" s="119"/>
      <c r="K28" s="121"/>
      <c r="L28" s="122"/>
      <c r="M28" s="119"/>
      <c r="N28" s="121"/>
      <c r="O28" s="122"/>
      <c r="P28" s="119"/>
      <c r="Q28" s="121"/>
      <c r="R28" s="122"/>
      <c r="S28" s="119"/>
      <c r="T28" s="119"/>
      <c r="U28" s="122"/>
      <c r="V28" s="119"/>
      <c r="W28" s="121"/>
    </row>
    <row r="29" spans="1:23" s="123" customFormat="1" x14ac:dyDescent="0.25">
      <c r="A29" s="119">
        <v>12</v>
      </c>
      <c r="B29" s="120" t="s">
        <v>77</v>
      </c>
      <c r="C29" s="119"/>
      <c r="D29" s="119"/>
      <c r="E29" s="121"/>
      <c r="F29" s="122"/>
      <c r="G29" s="119"/>
      <c r="H29" s="121"/>
      <c r="I29" s="122"/>
      <c r="J29" s="119"/>
      <c r="K29" s="121"/>
      <c r="L29" s="122"/>
      <c r="M29" s="119"/>
      <c r="N29" s="121"/>
      <c r="O29" s="122"/>
      <c r="P29" s="119"/>
      <c r="Q29" s="121"/>
      <c r="R29" s="122"/>
      <c r="S29" s="119"/>
      <c r="T29" s="119"/>
      <c r="U29" s="122"/>
      <c r="V29" s="119"/>
      <c r="W29" s="121"/>
    </row>
    <row r="30" spans="1:23" s="123" customFormat="1" x14ac:dyDescent="0.25">
      <c r="A30" s="119">
        <v>12</v>
      </c>
      <c r="B30" s="120" t="s">
        <v>78</v>
      </c>
      <c r="C30" s="119"/>
      <c r="D30" s="119"/>
      <c r="E30" s="121"/>
      <c r="F30" s="119"/>
      <c r="G30" s="119"/>
      <c r="H30" s="119"/>
      <c r="I30" s="119"/>
      <c r="J30" s="119"/>
      <c r="K30" s="119"/>
      <c r="L30" s="119"/>
      <c r="M30" s="119"/>
      <c r="N30" s="119"/>
      <c r="O30" s="122"/>
      <c r="P30" s="119"/>
      <c r="Q30" s="121"/>
      <c r="R30" s="122"/>
      <c r="S30" s="119"/>
      <c r="T30" s="119"/>
      <c r="U30" s="122"/>
      <c r="V30" s="119"/>
      <c r="W30" s="121"/>
    </row>
    <row r="31" spans="1:23" s="123" customFormat="1" x14ac:dyDescent="0.25">
      <c r="A31" s="119">
        <v>12</v>
      </c>
      <c r="B31" s="120" t="s">
        <v>79</v>
      </c>
      <c r="C31" s="119"/>
      <c r="D31" s="119"/>
      <c r="E31" s="121"/>
      <c r="F31" s="122"/>
      <c r="G31" s="119"/>
      <c r="H31" s="121"/>
      <c r="I31" s="122"/>
      <c r="J31" s="119"/>
      <c r="K31" s="121"/>
      <c r="L31" s="122"/>
      <c r="M31" s="119"/>
      <c r="N31" s="121"/>
      <c r="O31" s="122"/>
      <c r="P31" s="119"/>
      <c r="Q31" s="121"/>
      <c r="R31" s="122"/>
      <c r="S31" s="119"/>
      <c r="T31" s="119"/>
      <c r="U31" s="122"/>
      <c r="V31" s="119"/>
      <c r="W31" s="127"/>
    </row>
    <row r="32" spans="1:23" s="123" customFormat="1" ht="15.75" thickBot="1" x14ac:dyDescent="0.3">
      <c r="A32" s="119">
        <v>10</v>
      </c>
      <c r="B32" s="120" t="s">
        <v>80</v>
      </c>
      <c r="C32" s="119"/>
      <c r="D32" s="119"/>
      <c r="E32" s="121"/>
      <c r="F32" s="122"/>
      <c r="G32" s="119"/>
      <c r="H32" s="121"/>
      <c r="I32" s="122"/>
      <c r="J32" s="119"/>
      <c r="K32" s="121"/>
      <c r="L32" s="122"/>
      <c r="M32" s="119"/>
      <c r="N32" s="121"/>
      <c r="O32" s="122"/>
      <c r="P32" s="119"/>
      <c r="Q32" s="121"/>
      <c r="R32" s="122"/>
      <c r="S32" s="119"/>
      <c r="T32" s="119"/>
      <c r="U32" s="122"/>
      <c r="V32" s="119"/>
      <c r="W32" s="121"/>
    </row>
    <row r="33" spans="1:23" ht="15.75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s="123" customFormat="1" x14ac:dyDescent="0.25">
      <c r="A35" s="119"/>
      <c r="B35" s="120"/>
      <c r="C35" s="119"/>
      <c r="D35" s="119"/>
      <c r="E35" s="121"/>
      <c r="F35" s="119"/>
      <c r="G35" s="119"/>
      <c r="H35" s="119"/>
      <c r="I35" s="119"/>
      <c r="J35" s="119"/>
      <c r="K35" s="119"/>
      <c r="L35" s="122"/>
      <c r="M35" s="119"/>
      <c r="N35" s="121"/>
      <c r="O35" s="122"/>
      <c r="P35" s="119"/>
      <c r="Q35" s="121"/>
      <c r="R35" s="122"/>
      <c r="S35" s="119"/>
      <c r="T35" s="119"/>
      <c r="U35" s="122"/>
      <c r="V35" s="119"/>
      <c r="W35" s="121"/>
    </row>
    <row r="36" spans="1:23" s="123" customFormat="1" x14ac:dyDescent="0.25">
      <c r="A36" s="119"/>
      <c r="B36" s="120"/>
      <c r="C36" s="119"/>
      <c r="D36" s="119"/>
      <c r="E36" s="121"/>
      <c r="F36" s="119"/>
      <c r="G36" s="119"/>
      <c r="H36" s="119"/>
      <c r="I36" s="119"/>
      <c r="J36" s="119"/>
      <c r="K36" s="119"/>
      <c r="L36" s="119"/>
      <c r="M36" s="119"/>
      <c r="N36" s="119"/>
      <c r="O36" s="122"/>
      <c r="P36" s="119"/>
      <c r="Q36" s="121"/>
      <c r="R36" s="122"/>
      <c r="S36" s="119"/>
      <c r="T36" s="119"/>
      <c r="U36" s="122"/>
      <c r="V36" s="119"/>
      <c r="W36" s="121"/>
    </row>
    <row r="37" spans="1:23" s="123" customFormat="1" x14ac:dyDescent="0.25">
      <c r="A37" s="119"/>
      <c r="B37" s="120"/>
      <c r="C37" s="119"/>
      <c r="D37" s="119"/>
      <c r="E37" s="121"/>
      <c r="F37" s="119"/>
      <c r="G37" s="119"/>
      <c r="H37" s="119"/>
      <c r="I37" s="122"/>
      <c r="J37" s="119"/>
      <c r="K37" s="121"/>
      <c r="L37" s="122"/>
      <c r="M37" s="119"/>
      <c r="N37" s="121"/>
      <c r="O37" s="122"/>
      <c r="P37" s="119"/>
      <c r="Q37" s="121"/>
      <c r="R37" s="122"/>
      <c r="S37" s="119"/>
      <c r="T37" s="119"/>
      <c r="U37" s="122"/>
      <c r="V37" s="119"/>
      <c r="W37" s="121"/>
    </row>
    <row r="38" spans="1:23" s="123" customFormat="1" x14ac:dyDescent="0.25">
      <c r="A38" s="119"/>
      <c r="B38" s="120"/>
      <c r="C38" s="119"/>
      <c r="D38" s="119"/>
      <c r="E38" s="121"/>
      <c r="F38" s="119"/>
      <c r="G38" s="119"/>
      <c r="H38" s="119"/>
      <c r="I38" s="122"/>
      <c r="J38" s="119"/>
      <c r="K38" s="121"/>
      <c r="L38" s="122"/>
      <c r="M38" s="119"/>
      <c r="N38" s="121"/>
      <c r="O38" s="122"/>
      <c r="P38" s="119"/>
      <c r="Q38" s="121"/>
      <c r="R38" s="122"/>
      <c r="S38" s="119"/>
      <c r="T38" s="119"/>
      <c r="U38" s="122"/>
      <c r="V38" s="119"/>
      <c r="W38" s="121"/>
    </row>
    <row r="39" spans="1:23" s="123" customFormat="1" x14ac:dyDescent="0.25">
      <c r="A39" s="119"/>
      <c r="B39" s="120"/>
      <c r="C39" s="119"/>
      <c r="D39" s="119"/>
      <c r="E39" s="121"/>
      <c r="F39" s="119"/>
      <c r="G39" s="119"/>
      <c r="H39" s="119"/>
      <c r="I39" s="119"/>
      <c r="J39" s="119"/>
      <c r="K39" s="119"/>
      <c r="L39" s="122"/>
      <c r="M39" s="119"/>
      <c r="N39" s="121"/>
      <c r="O39" s="122"/>
      <c r="P39" s="119"/>
      <c r="Q39" s="121"/>
      <c r="R39" s="122"/>
      <c r="S39" s="119"/>
      <c r="T39" s="119"/>
      <c r="U39" s="122"/>
      <c r="V39" s="119"/>
      <c r="W39" s="121"/>
    </row>
    <row r="40" spans="1:23" s="123" customFormat="1" x14ac:dyDescent="0.25">
      <c r="A40" s="119"/>
      <c r="B40" s="120"/>
      <c r="C40" s="119"/>
      <c r="D40" s="119"/>
      <c r="E40" s="121"/>
      <c r="F40" s="122"/>
      <c r="G40" s="119"/>
      <c r="H40" s="121"/>
      <c r="I40" s="119"/>
      <c r="J40" s="119"/>
      <c r="K40" s="119"/>
      <c r="L40" s="122"/>
      <c r="M40" s="119"/>
      <c r="N40" s="121"/>
      <c r="O40" s="119"/>
      <c r="P40" s="119"/>
      <c r="Q40" s="119"/>
      <c r="R40" s="122"/>
      <c r="S40" s="119"/>
      <c r="T40" s="119"/>
      <c r="U40" s="122"/>
      <c r="V40" s="119"/>
      <c r="W40" s="121"/>
    </row>
    <row r="41" spans="1:23" s="123" customFormat="1" x14ac:dyDescent="0.25">
      <c r="A41" s="119"/>
      <c r="B41" s="120"/>
      <c r="C41" s="119"/>
      <c r="D41" s="119"/>
      <c r="E41" s="121"/>
      <c r="F41" s="122"/>
      <c r="G41" s="119"/>
      <c r="H41" s="121"/>
      <c r="I41" s="122"/>
      <c r="J41" s="119"/>
      <c r="K41" s="121"/>
      <c r="L41" s="122"/>
      <c r="M41" s="119"/>
      <c r="N41" s="121"/>
      <c r="O41" s="122"/>
      <c r="P41" s="119"/>
      <c r="Q41" s="121"/>
      <c r="R41" s="122"/>
      <c r="S41" s="119"/>
      <c r="T41" s="119"/>
      <c r="U41" s="122"/>
      <c r="V41" s="119"/>
      <c r="W41" s="121"/>
    </row>
    <row r="42" spans="1:23" s="123" customFormat="1" x14ac:dyDescent="0.25">
      <c r="A42" s="119"/>
      <c r="B42" s="120"/>
      <c r="C42" s="119"/>
      <c r="D42" s="119"/>
      <c r="E42" s="121"/>
      <c r="F42" s="122"/>
      <c r="G42" s="119"/>
      <c r="H42" s="121"/>
      <c r="I42" s="122"/>
      <c r="J42" s="119"/>
      <c r="K42" s="121"/>
      <c r="L42" s="122"/>
      <c r="M42" s="119"/>
      <c r="N42" s="121"/>
      <c r="O42" s="122"/>
      <c r="P42" s="119"/>
      <c r="Q42" s="121"/>
      <c r="R42" s="122"/>
      <c r="S42" s="119"/>
      <c r="T42" s="119"/>
      <c r="U42" s="122"/>
      <c r="V42" s="119"/>
      <c r="W42" s="121"/>
    </row>
    <row r="43" spans="1:23" s="123" customFormat="1" ht="15.75" thickBot="1" x14ac:dyDescent="0.3">
      <c r="A43" s="119"/>
      <c r="B43" s="120"/>
      <c r="C43" s="119"/>
      <c r="D43" s="119"/>
      <c r="E43" s="121"/>
      <c r="F43" s="122"/>
      <c r="G43" s="119"/>
      <c r="H43" s="121"/>
      <c r="I43" s="122"/>
      <c r="J43" s="119"/>
      <c r="K43" s="121"/>
      <c r="L43" s="122"/>
      <c r="M43" s="119"/>
      <c r="N43" s="121"/>
      <c r="O43" s="122"/>
      <c r="P43" s="119"/>
      <c r="Q43" s="121"/>
      <c r="R43" s="122"/>
      <c r="S43" s="119"/>
      <c r="T43" s="119"/>
      <c r="U43" s="122"/>
      <c r="V43" s="119"/>
      <c r="W43" s="121"/>
    </row>
    <row r="44" spans="1:23" ht="15.75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4" width="9.140625" style="68" customWidth="1"/>
    <col min="5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8" t="s">
        <v>91</v>
      </c>
      <c r="B32" s="116"/>
      <c r="C32" s="116"/>
      <c r="D32" s="116"/>
      <c r="E32" s="116"/>
      <c r="F32" s="116"/>
      <c r="G32" s="116"/>
      <c r="H32" s="117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49"/>
  <sheetViews>
    <sheetView topLeftCell="I1" workbookViewId="0">
      <selection activeCell="AI14" sqref="AI14"/>
    </sheetView>
  </sheetViews>
  <sheetFormatPr defaultRowHeight="15" x14ac:dyDescent="0.25"/>
  <sheetData>
    <row r="1" spans="1:31" x14ac:dyDescent="0.25">
      <c r="A1">
        <v>16</v>
      </c>
      <c r="B1" t="s">
        <v>4</v>
      </c>
      <c r="R1" t="s">
        <v>92</v>
      </c>
      <c r="S1" t="s">
        <v>80</v>
      </c>
      <c r="X1" s="78" t="s">
        <v>93</v>
      </c>
      <c r="AA1" t="s">
        <v>233</v>
      </c>
      <c r="AB1" s="114" t="s">
        <v>234</v>
      </c>
    </row>
    <row r="2" spans="1:31" x14ac:dyDescent="0.25">
      <c r="A2">
        <v>15</v>
      </c>
      <c r="B2" t="s">
        <v>41</v>
      </c>
      <c r="R2" t="s">
        <v>92</v>
      </c>
      <c r="S2" t="s">
        <v>7</v>
      </c>
      <c r="X2" t="s">
        <v>44</v>
      </c>
      <c r="AB2" t="s">
        <v>215</v>
      </c>
      <c r="AD2" t="s">
        <v>236</v>
      </c>
      <c r="AE2" t="s">
        <v>66</v>
      </c>
    </row>
    <row r="3" spans="1:31" x14ac:dyDescent="0.25">
      <c r="A3">
        <v>15</v>
      </c>
      <c r="B3" t="s">
        <v>6</v>
      </c>
      <c r="I3">
        <v>13</v>
      </c>
      <c r="J3" t="s">
        <v>8</v>
      </c>
      <c r="R3" t="s">
        <v>92</v>
      </c>
      <c r="S3" t="s">
        <v>94</v>
      </c>
      <c r="W3" s="81" t="s">
        <v>82</v>
      </c>
      <c r="X3" s="78" t="s">
        <v>95</v>
      </c>
      <c r="AB3" t="s">
        <v>212</v>
      </c>
      <c r="AD3" t="s">
        <v>62</v>
      </c>
      <c r="AE3" t="s">
        <v>225</v>
      </c>
    </row>
    <row r="4" spans="1:31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R4" t="s">
        <v>92</v>
      </c>
      <c r="S4" t="s">
        <v>27</v>
      </c>
      <c r="W4" s="78" t="s">
        <v>96</v>
      </c>
      <c r="AB4" t="s">
        <v>235</v>
      </c>
      <c r="AD4" t="s">
        <v>72</v>
      </c>
      <c r="AE4" t="s">
        <v>71</v>
      </c>
    </row>
    <row r="5" spans="1:31" x14ac:dyDescent="0.25">
      <c r="A5">
        <v>13</v>
      </c>
      <c r="B5" t="s">
        <v>12</v>
      </c>
      <c r="E5" t="s">
        <v>80</v>
      </c>
      <c r="I5">
        <v>13</v>
      </c>
      <c r="J5" t="s">
        <v>97</v>
      </c>
      <c r="R5" t="s">
        <v>92</v>
      </c>
      <c r="S5" t="s">
        <v>61</v>
      </c>
      <c r="W5" s="81" t="s">
        <v>98</v>
      </c>
      <c r="AB5" t="s">
        <v>70</v>
      </c>
      <c r="AD5">
        <v>655321</v>
      </c>
      <c r="AE5" t="s">
        <v>249</v>
      </c>
    </row>
    <row r="6" spans="1:31" x14ac:dyDescent="0.25">
      <c r="A6">
        <v>13</v>
      </c>
      <c r="B6" t="s">
        <v>42</v>
      </c>
      <c r="E6" t="s">
        <v>99</v>
      </c>
      <c r="I6">
        <v>12</v>
      </c>
      <c r="J6" t="s">
        <v>100</v>
      </c>
      <c r="R6" t="s">
        <v>92</v>
      </c>
      <c r="S6" t="s">
        <v>101</v>
      </c>
      <c r="W6" s="81" t="s">
        <v>71</v>
      </c>
      <c r="AB6" t="s">
        <v>221</v>
      </c>
      <c r="AD6" t="s">
        <v>105</v>
      </c>
      <c r="AE6" t="s">
        <v>220</v>
      </c>
    </row>
    <row r="7" spans="1:31" x14ac:dyDescent="0.25">
      <c r="A7">
        <v>13</v>
      </c>
      <c r="B7" t="s">
        <v>7</v>
      </c>
      <c r="I7">
        <v>12</v>
      </c>
      <c r="J7" t="s">
        <v>102</v>
      </c>
      <c r="R7" t="s">
        <v>92</v>
      </c>
      <c r="S7" t="s">
        <v>16</v>
      </c>
      <c r="W7" s="81" t="s">
        <v>84</v>
      </c>
      <c r="AB7" t="s">
        <v>223</v>
      </c>
      <c r="AD7" t="s">
        <v>96</v>
      </c>
      <c r="AE7" t="s">
        <v>246</v>
      </c>
    </row>
    <row r="8" spans="1:31" x14ac:dyDescent="0.25">
      <c r="A8">
        <v>13</v>
      </c>
      <c r="B8" t="s">
        <v>18</v>
      </c>
      <c r="R8" t="s">
        <v>92</v>
      </c>
      <c r="S8" t="s">
        <v>17</v>
      </c>
      <c r="W8" s="78" t="s">
        <v>83</v>
      </c>
      <c r="AB8" t="s">
        <v>69</v>
      </c>
      <c r="AD8" t="s">
        <v>219</v>
      </c>
      <c r="AE8" t="s">
        <v>250</v>
      </c>
    </row>
    <row r="9" spans="1:31" x14ac:dyDescent="0.25">
      <c r="A9">
        <v>13</v>
      </c>
      <c r="B9" t="s">
        <v>52</v>
      </c>
      <c r="I9">
        <v>12</v>
      </c>
      <c r="J9" t="s">
        <v>103</v>
      </c>
      <c r="R9" t="s">
        <v>92</v>
      </c>
      <c r="S9" t="s">
        <v>104</v>
      </c>
      <c r="W9" s="78" t="s">
        <v>69</v>
      </c>
      <c r="AB9" t="s">
        <v>61</v>
      </c>
      <c r="AD9" t="s">
        <v>213</v>
      </c>
      <c r="AE9" t="s">
        <v>86</v>
      </c>
    </row>
    <row r="10" spans="1:31" x14ac:dyDescent="0.25">
      <c r="A10">
        <v>13</v>
      </c>
      <c r="B10" t="s">
        <v>11</v>
      </c>
      <c r="R10" t="s">
        <v>92</v>
      </c>
      <c r="S10" t="s">
        <v>64</v>
      </c>
      <c r="W10" s="78" t="s">
        <v>105</v>
      </c>
      <c r="AB10" t="s">
        <v>245</v>
      </c>
      <c r="AD10" t="s">
        <v>211</v>
      </c>
      <c r="AE10" t="s">
        <v>218</v>
      </c>
    </row>
    <row r="11" spans="1:31" x14ac:dyDescent="0.25">
      <c r="A11">
        <v>13</v>
      </c>
      <c r="B11" t="s">
        <v>20</v>
      </c>
      <c r="I11">
        <v>12</v>
      </c>
      <c r="J11" t="s">
        <v>23</v>
      </c>
      <c r="R11" t="s">
        <v>92</v>
      </c>
      <c r="S11" t="s">
        <v>73</v>
      </c>
      <c r="W11" s="81" t="s">
        <v>106</v>
      </c>
      <c r="AB11" t="s">
        <v>242</v>
      </c>
      <c r="AE11" t="s">
        <v>247</v>
      </c>
    </row>
    <row r="12" spans="1:31" x14ac:dyDescent="0.25">
      <c r="A12">
        <v>12</v>
      </c>
      <c r="B12" t="s">
        <v>45</v>
      </c>
      <c r="I12">
        <v>12</v>
      </c>
      <c r="J12" t="s">
        <v>107</v>
      </c>
      <c r="R12" t="s">
        <v>92</v>
      </c>
      <c r="S12" t="s">
        <v>76</v>
      </c>
      <c r="W12" s="81" t="s">
        <v>108</v>
      </c>
      <c r="AB12" t="s">
        <v>13</v>
      </c>
    </row>
    <row r="13" spans="1:31" x14ac:dyDescent="0.25">
      <c r="A13">
        <v>12</v>
      </c>
      <c r="B13" t="s">
        <v>47</v>
      </c>
      <c r="I13">
        <v>12</v>
      </c>
      <c r="J13" t="s">
        <v>109</v>
      </c>
      <c r="R13" t="s">
        <v>92</v>
      </c>
      <c r="S13" t="s">
        <v>110</v>
      </c>
      <c r="W13" s="78" t="s">
        <v>41</v>
      </c>
      <c r="AB13" t="s">
        <v>240</v>
      </c>
    </row>
    <row r="14" spans="1:31" x14ac:dyDescent="0.25">
      <c r="A14">
        <v>12</v>
      </c>
      <c r="B14" t="s">
        <v>27</v>
      </c>
      <c r="I14">
        <v>12</v>
      </c>
      <c r="J14" t="s">
        <v>19</v>
      </c>
      <c r="R14" t="s">
        <v>92</v>
      </c>
      <c r="S14" t="s">
        <v>10</v>
      </c>
      <c r="W14" s="81" t="s">
        <v>65</v>
      </c>
      <c r="AB14" t="s">
        <v>73</v>
      </c>
    </row>
    <row r="15" spans="1:31" x14ac:dyDescent="0.25">
      <c r="A15">
        <v>12</v>
      </c>
      <c r="B15" t="s">
        <v>111</v>
      </c>
      <c r="I15">
        <v>12</v>
      </c>
      <c r="J15" t="s">
        <v>112</v>
      </c>
      <c r="R15" t="s">
        <v>92</v>
      </c>
      <c r="S15" t="s">
        <v>45</v>
      </c>
      <c r="W15" s="81" t="s">
        <v>86</v>
      </c>
      <c r="AB15" t="s">
        <v>76</v>
      </c>
    </row>
    <row r="16" spans="1:31" x14ac:dyDescent="0.25">
      <c r="A16">
        <v>12</v>
      </c>
      <c r="B16" t="s">
        <v>14</v>
      </c>
      <c r="R16" t="s">
        <v>92</v>
      </c>
      <c r="S16" t="s">
        <v>113</v>
      </c>
      <c r="W16" s="78" t="s">
        <v>114</v>
      </c>
      <c r="AB16" t="s">
        <v>237</v>
      </c>
    </row>
    <row r="17" spans="1:28" x14ac:dyDescent="0.25">
      <c r="A17">
        <v>12</v>
      </c>
      <c r="B17" t="s">
        <v>13</v>
      </c>
      <c r="I17">
        <v>12</v>
      </c>
      <c r="J17" t="s">
        <v>115</v>
      </c>
      <c r="R17" t="s">
        <v>92</v>
      </c>
      <c r="S17" t="s">
        <v>22</v>
      </c>
      <c r="W17" s="81" t="s">
        <v>116</v>
      </c>
      <c r="AB17" t="s">
        <v>243</v>
      </c>
    </row>
    <row r="18" spans="1:28" x14ac:dyDescent="0.25">
      <c r="A18">
        <v>12</v>
      </c>
      <c r="B18" t="s">
        <v>46</v>
      </c>
      <c r="I18">
        <v>11</v>
      </c>
      <c r="J18" t="s">
        <v>29</v>
      </c>
      <c r="R18" t="s">
        <v>92</v>
      </c>
      <c r="S18" t="s">
        <v>77</v>
      </c>
      <c r="W18" s="78" t="s">
        <v>117</v>
      </c>
      <c r="AB18" t="s">
        <v>241</v>
      </c>
    </row>
    <row r="19" spans="1:28" x14ac:dyDescent="0.25">
      <c r="A19">
        <v>12</v>
      </c>
      <c r="B19" t="s">
        <v>17</v>
      </c>
      <c r="I19">
        <v>11</v>
      </c>
      <c r="J19" t="s">
        <v>34</v>
      </c>
      <c r="R19" t="s">
        <v>92</v>
      </c>
      <c r="S19" t="s">
        <v>118</v>
      </c>
      <c r="W19" s="81" t="s">
        <v>119</v>
      </c>
      <c r="AB19" t="s">
        <v>244</v>
      </c>
    </row>
    <row r="20" spans="1:28" x14ac:dyDescent="0.25">
      <c r="A20">
        <v>12</v>
      </c>
      <c r="B20" t="s">
        <v>43</v>
      </c>
      <c r="R20" t="s">
        <v>92</v>
      </c>
      <c r="S20" t="s">
        <v>120</v>
      </c>
      <c r="W20" s="78"/>
      <c r="AB20" t="s">
        <v>79</v>
      </c>
    </row>
    <row r="21" spans="1:28" x14ac:dyDescent="0.25">
      <c r="A21">
        <v>12</v>
      </c>
      <c r="B21" t="s">
        <v>50</v>
      </c>
      <c r="R21" t="s">
        <v>92</v>
      </c>
      <c r="S21" t="s">
        <v>32</v>
      </c>
      <c r="W21" s="81"/>
      <c r="AB21" t="s">
        <v>22</v>
      </c>
    </row>
    <row r="22" spans="1:28" x14ac:dyDescent="0.25">
      <c r="A22">
        <v>12</v>
      </c>
      <c r="B22" t="s">
        <v>53</v>
      </c>
      <c r="R22" t="s">
        <v>92</v>
      </c>
      <c r="S22" t="s">
        <v>62</v>
      </c>
      <c r="W22" s="78"/>
      <c r="AB22" t="s">
        <v>238</v>
      </c>
    </row>
    <row r="23" spans="1:28" x14ac:dyDescent="0.25">
      <c r="A23">
        <v>12</v>
      </c>
      <c r="B23" t="s">
        <v>48</v>
      </c>
      <c r="R23" t="s">
        <v>92</v>
      </c>
      <c r="S23" t="s">
        <v>121</v>
      </c>
      <c r="W23" s="78"/>
      <c r="AB23" t="s">
        <v>74</v>
      </c>
    </row>
    <row r="24" spans="1:28" x14ac:dyDescent="0.25">
      <c r="A24">
        <v>12</v>
      </c>
      <c r="B24" t="s">
        <v>36</v>
      </c>
      <c r="R24" t="s">
        <v>92</v>
      </c>
      <c r="S24" t="s">
        <v>122</v>
      </c>
      <c r="W24" s="78"/>
      <c r="AB24" t="s">
        <v>57</v>
      </c>
    </row>
    <row r="25" spans="1:28" x14ac:dyDescent="0.25">
      <c r="A25">
        <v>12</v>
      </c>
      <c r="B25" t="s">
        <v>32</v>
      </c>
      <c r="R25" t="s">
        <v>92</v>
      </c>
      <c r="S25" t="s">
        <v>43</v>
      </c>
      <c r="W25" s="81"/>
      <c r="AB25" t="s">
        <v>239</v>
      </c>
    </row>
    <row r="26" spans="1:28" x14ac:dyDescent="0.25">
      <c r="A26">
        <v>12</v>
      </c>
      <c r="B26" t="s">
        <v>28</v>
      </c>
      <c r="R26" t="s">
        <v>92</v>
      </c>
      <c r="S26" t="s">
        <v>123</v>
      </c>
      <c r="W26" s="81"/>
      <c r="AB26" t="s">
        <v>248</v>
      </c>
    </row>
    <row r="27" spans="1:28" x14ac:dyDescent="0.25">
      <c r="A27">
        <v>12</v>
      </c>
      <c r="B27" t="s">
        <v>51</v>
      </c>
      <c r="R27" t="s">
        <v>92</v>
      </c>
      <c r="S27" t="s">
        <v>47</v>
      </c>
      <c r="W27" s="81"/>
    </row>
    <row r="28" spans="1:28" x14ac:dyDescent="0.25">
      <c r="A28">
        <v>12</v>
      </c>
      <c r="B28" t="s">
        <v>16</v>
      </c>
      <c r="R28" t="s">
        <v>92</v>
      </c>
      <c r="S28" t="s">
        <v>124</v>
      </c>
      <c r="W28" s="81"/>
    </row>
    <row r="29" spans="1:28" x14ac:dyDescent="0.25">
      <c r="A29">
        <v>12</v>
      </c>
      <c r="B29" t="s">
        <v>24</v>
      </c>
      <c r="R29" t="s">
        <v>125</v>
      </c>
      <c r="S29" s="81" t="s">
        <v>66</v>
      </c>
      <c r="W29" s="78"/>
    </row>
    <row r="30" spans="1:28" x14ac:dyDescent="0.25">
      <c r="W30" s="78"/>
    </row>
    <row r="31" spans="1:28" x14ac:dyDescent="0.25">
      <c r="W31" s="78"/>
    </row>
    <row r="32" spans="1:28" x14ac:dyDescent="0.25">
      <c r="W32" s="81"/>
    </row>
    <row r="33" spans="23:23" x14ac:dyDescent="0.25">
      <c r="W33" s="81"/>
    </row>
    <row r="34" spans="23:23" x14ac:dyDescent="0.25">
      <c r="W34" s="78"/>
    </row>
    <row r="35" spans="23:23" x14ac:dyDescent="0.25">
      <c r="W35" s="81"/>
    </row>
    <row r="36" spans="23:23" x14ac:dyDescent="0.25">
      <c r="W36" s="78"/>
    </row>
    <row r="37" spans="23:23" x14ac:dyDescent="0.25">
      <c r="W37" s="78"/>
    </row>
    <row r="38" spans="23:23" x14ac:dyDescent="0.25">
      <c r="W38" s="81"/>
    </row>
    <row r="39" spans="23:23" x14ac:dyDescent="0.25">
      <c r="W39" s="78"/>
    </row>
    <row r="40" spans="23:23" x14ac:dyDescent="0.25">
      <c r="W40" s="78"/>
    </row>
    <row r="41" spans="23:23" x14ac:dyDescent="0.25">
      <c r="W41" s="81"/>
    </row>
    <row r="42" spans="23:23" x14ac:dyDescent="0.25">
      <c r="W42" s="78"/>
    </row>
    <row r="43" spans="23:23" x14ac:dyDescent="0.25">
      <c r="W43" s="81"/>
    </row>
    <row r="44" spans="23:23" x14ac:dyDescent="0.25">
      <c r="W44" s="78"/>
    </row>
    <row r="45" spans="23:23" x14ac:dyDescent="0.25">
      <c r="W45" s="81"/>
    </row>
    <row r="46" spans="23:23" x14ac:dyDescent="0.25">
      <c r="W46" s="81"/>
    </row>
    <row r="47" spans="23:23" x14ac:dyDescent="0.25">
      <c r="W47" s="78"/>
    </row>
    <row r="48" spans="23:23" x14ac:dyDescent="0.25">
      <c r="W48" s="81"/>
    </row>
    <row r="49" spans="23:23" ht="15.75" customHeight="1" thickBot="1" x14ac:dyDescent="0.3">
      <c r="W49" s="82"/>
    </row>
  </sheetData>
  <sortState xmlns:xlrd2="http://schemas.microsoft.com/office/spreadsheetml/2017/richdata2" ref="AB2:AB49">
    <sortCondition ref="AB1:AB4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1" width="9.140625" style="68" customWidth="1"/>
    <col min="92" max="16384" width="9.140625" style="68"/>
  </cols>
  <sheetData>
    <row r="1" spans="1:87" ht="15.75" customHeight="1" thickBot="1" x14ac:dyDescent="0.3">
      <c r="A1" s="107" t="s">
        <v>126</v>
      </c>
      <c r="B1" s="107" t="s">
        <v>127</v>
      </c>
      <c r="C1" s="108" t="s">
        <v>128</v>
      </c>
      <c r="D1" s="107" t="s">
        <v>129</v>
      </c>
      <c r="E1" s="108" t="s">
        <v>130</v>
      </c>
      <c r="F1" s="108" t="s">
        <v>131</v>
      </c>
      <c r="G1" s="107" t="s">
        <v>132</v>
      </c>
      <c r="H1" s="112" t="s">
        <v>133</v>
      </c>
      <c r="I1" s="107" t="s">
        <v>134</v>
      </c>
      <c r="J1" s="112" t="s">
        <v>135</v>
      </c>
      <c r="K1" s="107" t="s">
        <v>136</v>
      </c>
      <c r="L1" s="112" t="s">
        <v>137</v>
      </c>
      <c r="M1" s="107" t="s">
        <v>138</v>
      </c>
      <c r="N1" s="112" t="s">
        <v>139</v>
      </c>
      <c r="O1" s="107" t="s">
        <v>140</v>
      </c>
      <c r="P1" s="112" t="s">
        <v>141</v>
      </c>
      <c r="Q1" s="107" t="s">
        <v>142</v>
      </c>
      <c r="R1" s="112" t="s">
        <v>143</v>
      </c>
      <c r="S1" s="107" t="s">
        <v>144</v>
      </c>
      <c r="T1" s="112" t="s">
        <v>145</v>
      </c>
      <c r="U1" s="107" t="s">
        <v>146</v>
      </c>
      <c r="V1" s="112" t="s">
        <v>147</v>
      </c>
      <c r="W1" s="107" t="s">
        <v>148</v>
      </c>
      <c r="X1" s="112" t="s">
        <v>149</v>
      </c>
      <c r="Y1" s="107" t="s">
        <v>150</v>
      </c>
      <c r="Z1" s="112" t="s">
        <v>151</v>
      </c>
      <c r="AA1" s="107" t="s">
        <v>152</v>
      </c>
      <c r="AB1" s="112" t="s">
        <v>153</v>
      </c>
      <c r="AC1" s="107" t="s">
        <v>230</v>
      </c>
      <c r="AD1" s="112" t="s">
        <v>229</v>
      </c>
      <c r="AE1" s="107" t="s">
        <v>231</v>
      </c>
      <c r="AF1" s="112" t="s">
        <v>232</v>
      </c>
      <c r="AG1" s="107" t="s">
        <v>154</v>
      </c>
      <c r="AH1" s="112" t="s">
        <v>155</v>
      </c>
      <c r="AI1" s="107" t="s">
        <v>156</v>
      </c>
      <c r="AJ1" s="112" t="s">
        <v>157</v>
      </c>
      <c r="AK1" s="107" t="s">
        <v>158</v>
      </c>
      <c r="AL1" s="112" t="s">
        <v>159</v>
      </c>
      <c r="AM1" s="107" t="s">
        <v>160</v>
      </c>
      <c r="AN1" s="112" t="s">
        <v>161</v>
      </c>
      <c r="AO1" s="107" t="s">
        <v>162</v>
      </c>
      <c r="AP1" s="112" t="s">
        <v>163</v>
      </c>
      <c r="AQ1" s="107" t="s">
        <v>164</v>
      </c>
      <c r="AR1" s="112" t="s">
        <v>165</v>
      </c>
      <c r="AS1" s="107" t="s">
        <v>166</v>
      </c>
      <c r="AT1" s="112" t="s">
        <v>167</v>
      </c>
      <c r="AU1" s="107" t="s">
        <v>168</v>
      </c>
      <c r="AV1" s="112" t="s">
        <v>169</v>
      </c>
      <c r="AW1" s="107" t="s">
        <v>170</v>
      </c>
      <c r="AX1" s="112" t="s">
        <v>171</v>
      </c>
      <c r="AY1" s="109" t="s">
        <v>172</v>
      </c>
      <c r="AZ1" s="109" t="s">
        <v>173</v>
      </c>
      <c r="BA1" s="109" t="s">
        <v>174</v>
      </c>
      <c r="BB1" s="109" t="s">
        <v>175</v>
      </c>
      <c r="BC1" s="109" t="s">
        <v>176</v>
      </c>
      <c r="BD1" s="109" t="s">
        <v>177</v>
      </c>
      <c r="BE1" s="109" t="s">
        <v>178</v>
      </c>
      <c r="BF1" s="109" t="s">
        <v>179</v>
      </c>
      <c r="BG1" s="109" t="s">
        <v>180</v>
      </c>
      <c r="BH1" s="109" t="s">
        <v>181</v>
      </c>
      <c r="BI1" s="109" t="s">
        <v>182</v>
      </c>
      <c r="BJ1" s="109" t="s">
        <v>183</v>
      </c>
      <c r="BK1" s="109" t="s">
        <v>184</v>
      </c>
      <c r="BL1" s="109" t="s">
        <v>185</v>
      </c>
      <c r="BM1" s="109" t="s">
        <v>186</v>
      </c>
      <c r="BN1" s="109" t="s">
        <v>187</v>
      </c>
      <c r="BO1" s="109" t="s">
        <v>188</v>
      </c>
      <c r="BP1" s="109" t="s">
        <v>189</v>
      </c>
      <c r="BQ1" s="109" t="s">
        <v>190</v>
      </c>
      <c r="BR1" s="109" t="s">
        <v>191</v>
      </c>
      <c r="BS1" s="109" t="s">
        <v>192</v>
      </c>
      <c r="BT1" s="109" t="s">
        <v>193</v>
      </c>
      <c r="BU1" s="109" t="s">
        <v>194</v>
      </c>
      <c r="BV1" s="109" t="s">
        <v>195</v>
      </c>
      <c r="BW1" s="109" t="s">
        <v>196</v>
      </c>
      <c r="BX1" s="109" t="s">
        <v>197</v>
      </c>
      <c r="BY1" s="109" t="s">
        <v>198</v>
      </c>
      <c r="BZ1" s="109" t="s">
        <v>199</v>
      </c>
      <c r="CA1" s="109" t="s">
        <v>200</v>
      </c>
      <c r="CB1" s="109" t="s">
        <v>201</v>
      </c>
      <c r="CC1" s="109" t="s">
        <v>202</v>
      </c>
      <c r="CD1" s="109" t="s">
        <v>203</v>
      </c>
      <c r="CE1" s="109" t="s">
        <v>204</v>
      </c>
      <c r="CF1" s="109" t="s">
        <v>205</v>
      </c>
      <c r="CG1" s="109" t="s">
        <v>206</v>
      </c>
      <c r="CH1" s="109" t="s">
        <v>207</v>
      </c>
      <c r="CI1" s="109" t="s">
        <v>208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 t="shared" ref="E2:E33" si="0">SUM(G2:AB2)</f>
        <v>9</v>
      </c>
      <c r="F2" s="68">
        <f t="shared" ref="F2:F33" si="1">ROUND(AVERAGE(G2:BF2),1)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209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217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</row>
    <row r="4" spans="1:87" x14ac:dyDescent="0.25">
      <c r="A4" s="79" t="s">
        <v>80</v>
      </c>
      <c r="B4" s="79">
        <v>0</v>
      </c>
      <c r="C4" s="68">
        <v>0</v>
      </c>
      <c r="D4" s="79">
        <v>2</v>
      </c>
      <c r="E4" s="68">
        <f t="shared" si="0"/>
        <v>5</v>
      </c>
      <c r="F4" s="68">
        <f t="shared" si="1"/>
        <v>1.3</v>
      </c>
      <c r="I4" s="79">
        <v>2</v>
      </c>
      <c r="J4" s="80">
        <v>1</v>
      </c>
      <c r="W4" s="79">
        <v>1</v>
      </c>
      <c r="X4" s="80">
        <v>1</v>
      </c>
    </row>
    <row r="5" spans="1:87" x14ac:dyDescent="0.25">
      <c r="A5" s="79" t="s">
        <v>95</v>
      </c>
      <c r="B5" s="79">
        <v>0</v>
      </c>
      <c r="C5" s="68">
        <v>0</v>
      </c>
      <c r="D5" s="79">
        <v>0</v>
      </c>
      <c r="E5" s="68">
        <f t="shared" si="0"/>
        <v>0</v>
      </c>
      <c r="F5" s="68" t="e">
        <f t="shared" si="1"/>
        <v>#DIV/0!</v>
      </c>
    </row>
    <row r="6" spans="1:87" x14ac:dyDescent="0.25">
      <c r="A6" s="79" t="s">
        <v>224</v>
      </c>
      <c r="B6" s="79">
        <v>0</v>
      </c>
      <c r="C6" s="68">
        <v>0</v>
      </c>
      <c r="D6" s="79">
        <v>0</v>
      </c>
      <c r="E6" s="68">
        <f t="shared" si="0"/>
        <v>0</v>
      </c>
      <c r="F6" s="68" t="e">
        <f t="shared" si="1"/>
        <v>#DIV/0!</v>
      </c>
    </row>
    <row r="7" spans="1:87" x14ac:dyDescent="0.25">
      <c r="A7" s="79" t="s">
        <v>219</v>
      </c>
      <c r="B7" s="79">
        <v>0</v>
      </c>
      <c r="C7" s="68">
        <v>0</v>
      </c>
      <c r="D7" s="79">
        <v>0</v>
      </c>
      <c r="E7" s="68">
        <f t="shared" si="0"/>
        <v>0</v>
      </c>
      <c r="F7" s="68" t="e">
        <f t="shared" si="1"/>
        <v>#DIV/0!</v>
      </c>
    </row>
    <row r="8" spans="1:87" x14ac:dyDescent="0.25">
      <c r="A8" s="79" t="s">
        <v>215</v>
      </c>
      <c r="B8" s="79">
        <v>0</v>
      </c>
      <c r="C8" s="68">
        <v>0</v>
      </c>
      <c r="D8" s="79">
        <v>3</v>
      </c>
      <c r="E8" s="68">
        <f t="shared" si="0"/>
        <v>11</v>
      </c>
      <c r="F8" s="68">
        <f t="shared" si="1"/>
        <v>1.8</v>
      </c>
      <c r="U8" s="79">
        <v>1</v>
      </c>
      <c r="V8" s="80">
        <v>1</v>
      </c>
      <c r="Y8" s="79">
        <v>3</v>
      </c>
      <c r="Z8" s="80">
        <v>2</v>
      </c>
      <c r="AA8" s="79">
        <v>3</v>
      </c>
      <c r="AB8" s="80">
        <v>1</v>
      </c>
    </row>
    <row r="9" spans="1:87" x14ac:dyDescent="0.25">
      <c r="A9" s="79" t="s">
        <v>227</v>
      </c>
      <c r="B9" s="79">
        <v>0</v>
      </c>
      <c r="C9" s="68">
        <v>0</v>
      </c>
      <c r="D9" s="79">
        <v>0</v>
      </c>
      <c r="E9" s="68">
        <f t="shared" si="0"/>
        <v>0</v>
      </c>
      <c r="F9" s="68" t="e">
        <f t="shared" si="1"/>
        <v>#DIV/0!</v>
      </c>
    </row>
    <row r="10" spans="1:87" x14ac:dyDescent="0.25">
      <c r="A10" s="79" t="s">
        <v>211</v>
      </c>
      <c r="B10" s="79">
        <v>6</v>
      </c>
      <c r="C10" s="68">
        <v>3</v>
      </c>
      <c r="D10" s="79">
        <v>10</v>
      </c>
      <c r="E10" s="68">
        <f t="shared" si="0"/>
        <v>18</v>
      </c>
      <c r="F10" s="68">
        <f t="shared" si="1"/>
        <v>1.3</v>
      </c>
      <c r="G10" s="79">
        <v>2</v>
      </c>
      <c r="H10" s="80">
        <v>1</v>
      </c>
      <c r="I10" s="79">
        <v>0</v>
      </c>
      <c r="J10" s="80">
        <v>0</v>
      </c>
      <c r="K10" s="79">
        <v>2</v>
      </c>
      <c r="L10" s="80">
        <v>1</v>
      </c>
      <c r="M10" s="79">
        <v>1</v>
      </c>
      <c r="N10" s="80">
        <v>0</v>
      </c>
      <c r="O10" s="79">
        <v>1</v>
      </c>
      <c r="P10" s="80">
        <v>0</v>
      </c>
      <c r="Q10" s="79" t="s">
        <v>209</v>
      </c>
      <c r="R10" s="80" t="s">
        <v>209</v>
      </c>
      <c r="W10" s="79" t="s">
        <v>209</v>
      </c>
      <c r="X10" s="80" t="s">
        <v>209</v>
      </c>
      <c r="Y10" s="79">
        <v>3</v>
      </c>
      <c r="Z10" s="80">
        <v>3</v>
      </c>
      <c r="AA10" s="79">
        <v>2</v>
      </c>
      <c r="AB10" s="80">
        <v>2</v>
      </c>
      <c r="AC10" s="79" t="s">
        <v>209</v>
      </c>
      <c r="AD10" s="80" t="s">
        <v>209</v>
      </c>
    </row>
    <row r="11" spans="1:87" x14ac:dyDescent="0.25">
      <c r="A11" s="79" t="s">
        <v>212</v>
      </c>
      <c r="B11" s="79">
        <v>0</v>
      </c>
      <c r="C11" s="68">
        <v>0</v>
      </c>
      <c r="D11" s="79">
        <v>4</v>
      </c>
      <c r="E11" s="68">
        <f t="shared" si="0"/>
        <v>18</v>
      </c>
      <c r="F11" s="68">
        <f t="shared" si="1"/>
        <v>2.8</v>
      </c>
      <c r="K11" s="79">
        <v>3</v>
      </c>
      <c r="L11" s="80">
        <v>3</v>
      </c>
      <c r="M11" s="79">
        <v>3</v>
      </c>
      <c r="N11" s="80">
        <v>3</v>
      </c>
      <c r="Q11" s="79">
        <v>3</v>
      </c>
      <c r="R11" s="80">
        <v>3</v>
      </c>
      <c r="AC11" s="79">
        <v>2</v>
      </c>
      <c r="AD11" s="80">
        <v>2</v>
      </c>
    </row>
    <row r="12" spans="1:87" x14ac:dyDescent="0.25">
      <c r="A12" s="79" t="s">
        <v>96</v>
      </c>
      <c r="B12" s="79">
        <v>0</v>
      </c>
      <c r="C12" s="68">
        <v>0</v>
      </c>
      <c r="D12" s="79">
        <v>0</v>
      </c>
      <c r="E12" s="68">
        <f t="shared" si="0"/>
        <v>0</v>
      </c>
      <c r="F12" s="68" t="e">
        <f t="shared" si="1"/>
        <v>#DIV/0!</v>
      </c>
    </row>
    <row r="13" spans="1:87" x14ac:dyDescent="0.25">
      <c r="A13" s="79" t="s">
        <v>6</v>
      </c>
      <c r="B13" s="79">
        <v>0</v>
      </c>
      <c r="C13" s="68">
        <v>0</v>
      </c>
      <c r="D13" s="79">
        <v>11</v>
      </c>
      <c r="E13" s="68">
        <f t="shared" si="0"/>
        <v>48</v>
      </c>
      <c r="F13" s="68">
        <f t="shared" si="1"/>
        <v>2.4</v>
      </c>
      <c r="G13" s="79">
        <v>3</v>
      </c>
      <c r="H13" s="80">
        <v>3</v>
      </c>
      <c r="I13" s="79">
        <v>3</v>
      </c>
      <c r="J13" s="80">
        <v>2</v>
      </c>
      <c r="K13" s="79">
        <v>2</v>
      </c>
      <c r="L13" s="80">
        <v>3</v>
      </c>
      <c r="O13" s="79">
        <v>3</v>
      </c>
      <c r="P13" s="80">
        <v>2</v>
      </c>
      <c r="Q13" s="79">
        <v>3</v>
      </c>
      <c r="R13" s="80">
        <v>2</v>
      </c>
      <c r="S13" s="79">
        <v>2</v>
      </c>
      <c r="T13" s="80">
        <v>2</v>
      </c>
      <c r="U13" s="79">
        <v>3</v>
      </c>
      <c r="V13" s="80">
        <v>3</v>
      </c>
      <c r="W13" s="79">
        <v>3</v>
      </c>
      <c r="X13" s="80">
        <v>3</v>
      </c>
      <c r="Y13" s="79">
        <v>1</v>
      </c>
      <c r="Z13" s="80">
        <v>1</v>
      </c>
      <c r="AA13" s="79">
        <v>2</v>
      </c>
      <c r="AB13" s="80">
        <v>2</v>
      </c>
      <c r="AC13" s="79">
        <v>2</v>
      </c>
      <c r="AD13" s="80">
        <v>3</v>
      </c>
    </row>
    <row r="14" spans="1:87" x14ac:dyDescent="0.25">
      <c r="A14" s="79" t="s">
        <v>228</v>
      </c>
      <c r="B14" s="79">
        <v>0</v>
      </c>
      <c r="C14" s="68">
        <v>0</v>
      </c>
      <c r="D14" s="79">
        <v>0</v>
      </c>
      <c r="E14" s="68">
        <f t="shared" si="0"/>
        <v>0</v>
      </c>
      <c r="F14" s="68" t="e">
        <f t="shared" si="1"/>
        <v>#DIV/0!</v>
      </c>
    </row>
    <row r="15" spans="1:87" x14ac:dyDescent="0.25">
      <c r="A15" s="79" t="s">
        <v>213</v>
      </c>
      <c r="B15" s="79">
        <v>0</v>
      </c>
      <c r="C15" s="68">
        <v>0</v>
      </c>
      <c r="D15" s="79">
        <v>0</v>
      </c>
      <c r="E15" s="68">
        <f t="shared" si="0"/>
        <v>0</v>
      </c>
      <c r="F15" s="68" t="e">
        <f t="shared" si="1"/>
        <v>#DIV/0!</v>
      </c>
    </row>
    <row r="16" spans="1:87" x14ac:dyDescent="0.25">
      <c r="A16" s="79" t="s">
        <v>71</v>
      </c>
      <c r="B16" s="79">
        <v>3</v>
      </c>
      <c r="C16" s="68">
        <v>1</v>
      </c>
      <c r="D16" s="79">
        <v>3</v>
      </c>
      <c r="E16" s="68">
        <f t="shared" si="0"/>
        <v>4</v>
      </c>
      <c r="F16" s="68">
        <f t="shared" si="1"/>
        <v>1.3</v>
      </c>
      <c r="I16" s="79">
        <v>2</v>
      </c>
      <c r="J16" s="80" t="s">
        <v>209</v>
      </c>
      <c r="O16" s="79" t="s">
        <v>209</v>
      </c>
      <c r="P16" s="80" t="s">
        <v>209</v>
      </c>
      <c r="S16" s="79">
        <v>1</v>
      </c>
      <c r="T16" s="80">
        <v>1</v>
      </c>
    </row>
    <row r="17" spans="1:32" x14ac:dyDescent="0.25">
      <c r="A17" s="79" t="s">
        <v>225</v>
      </c>
      <c r="B17" s="79">
        <v>0</v>
      </c>
      <c r="C17" s="68">
        <v>0</v>
      </c>
      <c r="D17" s="79">
        <v>0</v>
      </c>
      <c r="E17" s="68">
        <f t="shared" si="0"/>
        <v>0</v>
      </c>
      <c r="F17" s="68" t="e">
        <f t="shared" si="1"/>
        <v>#DIV/0!</v>
      </c>
    </row>
    <row r="18" spans="1:32" x14ac:dyDescent="0.25">
      <c r="A18" s="79" t="s">
        <v>70</v>
      </c>
      <c r="B18" s="79">
        <v>1</v>
      </c>
      <c r="C18" s="68">
        <v>0</v>
      </c>
      <c r="D18" s="79">
        <v>5</v>
      </c>
      <c r="E18" s="68">
        <f t="shared" si="0"/>
        <v>16</v>
      </c>
      <c r="F18" s="68">
        <f t="shared" si="1"/>
        <v>2.1</v>
      </c>
      <c r="Q18" s="79">
        <v>3</v>
      </c>
      <c r="R18" s="80">
        <v>2</v>
      </c>
      <c r="U18" s="79">
        <v>3</v>
      </c>
      <c r="V18" s="80">
        <v>1</v>
      </c>
      <c r="Y18" s="79">
        <v>2</v>
      </c>
      <c r="Z18" s="80">
        <v>2</v>
      </c>
      <c r="AA18" s="79">
        <v>3</v>
      </c>
      <c r="AB18" s="80" t="s">
        <v>209</v>
      </c>
      <c r="AE18" s="79">
        <v>2</v>
      </c>
      <c r="AF18" s="80">
        <v>1</v>
      </c>
    </row>
    <row r="19" spans="1:32" x14ac:dyDescent="0.25">
      <c r="A19" s="79" t="s">
        <v>221</v>
      </c>
      <c r="B19" s="79">
        <v>1</v>
      </c>
      <c r="C19" s="68">
        <v>0</v>
      </c>
      <c r="D19" s="79">
        <v>1</v>
      </c>
      <c r="E19" s="68">
        <f t="shared" si="0"/>
        <v>1</v>
      </c>
      <c r="F19" s="68">
        <f t="shared" si="1"/>
        <v>1</v>
      </c>
      <c r="Y19" s="79">
        <v>1</v>
      </c>
      <c r="Z19" s="80" t="s">
        <v>209</v>
      </c>
    </row>
    <row r="20" spans="1:32" x14ac:dyDescent="0.25">
      <c r="A20" s="79" t="s">
        <v>223</v>
      </c>
      <c r="B20" s="79">
        <v>0</v>
      </c>
      <c r="C20" s="68">
        <v>0</v>
      </c>
      <c r="D20" s="79">
        <v>4</v>
      </c>
      <c r="E20" s="68">
        <f t="shared" si="0"/>
        <v>7</v>
      </c>
      <c r="F20" s="68">
        <f t="shared" si="1"/>
        <v>1.4</v>
      </c>
      <c r="Y20" s="79">
        <v>2</v>
      </c>
      <c r="Z20" s="80">
        <v>3</v>
      </c>
      <c r="AA20" s="79">
        <v>1</v>
      </c>
      <c r="AB20" s="80">
        <v>1</v>
      </c>
      <c r="AC20" s="79">
        <v>1</v>
      </c>
      <c r="AD20" s="80">
        <v>1</v>
      </c>
      <c r="AE20" s="79">
        <v>1</v>
      </c>
      <c r="AF20" s="80">
        <v>1</v>
      </c>
    </row>
    <row r="21" spans="1:32" x14ac:dyDescent="0.25">
      <c r="A21" s="79" t="s">
        <v>69</v>
      </c>
      <c r="B21" s="79">
        <v>0</v>
      </c>
      <c r="C21" s="68">
        <v>0</v>
      </c>
      <c r="D21" s="79">
        <v>8</v>
      </c>
      <c r="E21" s="68">
        <f t="shared" si="0"/>
        <v>32</v>
      </c>
      <c r="F21" s="68">
        <f t="shared" si="1"/>
        <v>2</v>
      </c>
      <c r="G21" s="79">
        <v>1</v>
      </c>
      <c r="H21" s="80">
        <v>2</v>
      </c>
      <c r="I21" s="79">
        <v>1</v>
      </c>
      <c r="J21" s="80">
        <v>3</v>
      </c>
      <c r="M21" s="79">
        <v>0</v>
      </c>
      <c r="N21" s="80">
        <v>3</v>
      </c>
      <c r="O21" s="79">
        <v>3</v>
      </c>
      <c r="P21" s="80">
        <v>3</v>
      </c>
      <c r="U21" s="79">
        <v>3</v>
      </c>
      <c r="V21" s="80">
        <v>3</v>
      </c>
      <c r="W21" s="79">
        <v>1</v>
      </c>
      <c r="X21" s="80">
        <v>2</v>
      </c>
      <c r="Y21" s="79">
        <v>3</v>
      </c>
      <c r="Z21" s="80">
        <v>0</v>
      </c>
      <c r="AA21" s="79">
        <v>2</v>
      </c>
      <c r="AB21" s="80">
        <v>2</v>
      </c>
    </row>
    <row r="22" spans="1:32" x14ac:dyDescent="0.25">
      <c r="A22" s="79" t="s">
        <v>105</v>
      </c>
      <c r="B22" s="79">
        <v>0</v>
      </c>
      <c r="C22" s="68">
        <v>0</v>
      </c>
      <c r="D22" s="79">
        <v>0</v>
      </c>
      <c r="E22" s="68">
        <f t="shared" si="0"/>
        <v>0</v>
      </c>
      <c r="F22" s="68" t="e">
        <f t="shared" si="1"/>
        <v>#DIV/0!</v>
      </c>
    </row>
    <row r="23" spans="1:32" x14ac:dyDescent="0.25">
      <c r="A23" s="79" t="s">
        <v>61</v>
      </c>
      <c r="B23" s="79">
        <v>1</v>
      </c>
      <c r="C23" s="68">
        <v>0</v>
      </c>
      <c r="D23" s="79">
        <v>8</v>
      </c>
      <c r="E23" s="68">
        <f t="shared" si="0"/>
        <v>30</v>
      </c>
      <c r="F23" s="68">
        <f t="shared" si="1"/>
        <v>2.5</v>
      </c>
      <c r="I23" s="79">
        <v>3</v>
      </c>
      <c r="J23" s="80">
        <v>1</v>
      </c>
      <c r="K23" s="79">
        <v>3</v>
      </c>
      <c r="L23" s="80">
        <v>3</v>
      </c>
      <c r="O23" s="79">
        <v>3</v>
      </c>
      <c r="P23" s="80">
        <v>1</v>
      </c>
      <c r="Q23" s="79">
        <v>3</v>
      </c>
      <c r="R23" s="80">
        <v>3</v>
      </c>
      <c r="U23" s="79">
        <v>3</v>
      </c>
      <c r="V23" s="80">
        <v>1</v>
      </c>
      <c r="AA23" s="79">
        <v>3</v>
      </c>
      <c r="AB23" s="80">
        <v>3</v>
      </c>
      <c r="AC23" s="79">
        <v>2</v>
      </c>
      <c r="AD23" s="80">
        <v>2</v>
      </c>
      <c r="AE23" s="79">
        <v>3</v>
      </c>
      <c r="AF23" s="80" t="s">
        <v>209</v>
      </c>
    </row>
    <row r="24" spans="1:32" x14ac:dyDescent="0.25">
      <c r="A24" s="79" t="s">
        <v>20</v>
      </c>
      <c r="B24" s="79">
        <v>0</v>
      </c>
      <c r="C24" s="68">
        <v>0</v>
      </c>
      <c r="D24" s="79">
        <v>4</v>
      </c>
      <c r="E24" s="68">
        <f t="shared" si="0"/>
        <v>19</v>
      </c>
      <c r="F24" s="68">
        <f t="shared" si="1"/>
        <v>2.4</v>
      </c>
      <c r="G24" s="79">
        <v>3</v>
      </c>
      <c r="H24" s="80">
        <v>3</v>
      </c>
      <c r="K24" s="79">
        <v>2</v>
      </c>
      <c r="L24" s="80">
        <v>2</v>
      </c>
      <c r="O24" s="79">
        <v>1</v>
      </c>
      <c r="P24" s="80">
        <v>3</v>
      </c>
      <c r="Q24" s="79">
        <v>2</v>
      </c>
      <c r="R24" s="80">
        <v>3</v>
      </c>
    </row>
    <row r="25" spans="1:32" x14ac:dyDescent="0.25">
      <c r="A25" s="79" t="s">
        <v>220</v>
      </c>
      <c r="B25" s="79">
        <v>0</v>
      </c>
      <c r="C25" s="68">
        <v>0</v>
      </c>
      <c r="D25" s="79">
        <v>1</v>
      </c>
      <c r="E25" s="68">
        <f t="shared" si="0"/>
        <v>0</v>
      </c>
      <c r="F25" s="68">
        <f t="shared" si="1"/>
        <v>3</v>
      </c>
      <c r="AE25" s="79">
        <v>3</v>
      </c>
      <c r="AF25" s="80">
        <v>3</v>
      </c>
    </row>
    <row r="26" spans="1:32" x14ac:dyDescent="0.25">
      <c r="A26" s="79" t="s">
        <v>16</v>
      </c>
      <c r="B26" s="79">
        <v>0</v>
      </c>
      <c r="C26" s="68">
        <v>0</v>
      </c>
      <c r="D26" s="79">
        <v>5</v>
      </c>
      <c r="E26" s="68">
        <f t="shared" si="0"/>
        <v>21</v>
      </c>
      <c r="F26" s="68">
        <f t="shared" si="1"/>
        <v>2.7</v>
      </c>
      <c r="S26" s="79">
        <v>2</v>
      </c>
      <c r="T26" s="80">
        <v>3</v>
      </c>
      <c r="W26" s="79">
        <v>2</v>
      </c>
      <c r="X26" s="80">
        <v>2</v>
      </c>
      <c r="Y26" s="79">
        <v>3</v>
      </c>
      <c r="Z26" s="80">
        <v>3</v>
      </c>
      <c r="AA26" s="79">
        <v>3</v>
      </c>
      <c r="AB26" s="80">
        <v>3</v>
      </c>
      <c r="AC26" s="79">
        <v>3</v>
      </c>
      <c r="AD26" s="80">
        <v>3</v>
      </c>
    </row>
    <row r="27" spans="1:32" x14ac:dyDescent="0.25">
      <c r="A27" s="79" t="s">
        <v>68</v>
      </c>
      <c r="B27" s="79">
        <v>0</v>
      </c>
      <c r="C27" s="68">
        <v>0</v>
      </c>
      <c r="D27" s="79">
        <v>3</v>
      </c>
      <c r="E27" s="68">
        <f t="shared" si="0"/>
        <v>15</v>
      </c>
      <c r="F27" s="68">
        <f t="shared" si="1"/>
        <v>2.5</v>
      </c>
      <c r="G27" s="79">
        <v>1</v>
      </c>
      <c r="H27" s="80">
        <v>2</v>
      </c>
      <c r="I27" s="79">
        <v>3</v>
      </c>
      <c r="J27" s="80">
        <v>3</v>
      </c>
      <c r="Y27" s="79">
        <v>3</v>
      </c>
      <c r="Z27" s="80">
        <v>3</v>
      </c>
    </row>
    <row r="28" spans="1:32" x14ac:dyDescent="0.25">
      <c r="A28" s="79" t="s">
        <v>13</v>
      </c>
      <c r="B28" s="79">
        <v>0</v>
      </c>
      <c r="C28" s="68">
        <v>0</v>
      </c>
      <c r="D28" s="79">
        <v>1</v>
      </c>
      <c r="E28" s="68">
        <f t="shared" si="0"/>
        <v>0</v>
      </c>
      <c r="F28" s="68">
        <f t="shared" si="1"/>
        <v>2</v>
      </c>
      <c r="AE28" s="79">
        <v>3</v>
      </c>
      <c r="AF28" s="80">
        <v>1</v>
      </c>
    </row>
    <row r="29" spans="1:32" x14ac:dyDescent="0.25">
      <c r="A29" s="79" t="s">
        <v>64</v>
      </c>
      <c r="B29" s="79">
        <v>2</v>
      </c>
      <c r="C29" s="68">
        <v>0</v>
      </c>
      <c r="D29" s="79">
        <v>7</v>
      </c>
      <c r="E29" s="68">
        <f t="shared" si="0"/>
        <v>23</v>
      </c>
      <c r="F29" s="68">
        <f t="shared" si="1"/>
        <v>2.2999999999999998</v>
      </c>
      <c r="I29" s="79">
        <v>2</v>
      </c>
      <c r="J29" s="80" t="s">
        <v>209</v>
      </c>
      <c r="M29" s="79">
        <v>3</v>
      </c>
      <c r="N29" s="80">
        <v>1</v>
      </c>
      <c r="O29" s="79">
        <v>3</v>
      </c>
      <c r="P29" s="80">
        <v>3</v>
      </c>
      <c r="Q29" s="79">
        <v>2</v>
      </c>
      <c r="R29" s="80" t="s">
        <v>209</v>
      </c>
      <c r="W29" s="79">
        <v>2</v>
      </c>
      <c r="X29" s="80">
        <v>2</v>
      </c>
      <c r="AA29" s="79">
        <v>3</v>
      </c>
      <c r="AB29" s="80">
        <v>2</v>
      </c>
      <c r="AC29" s="79">
        <v>2</v>
      </c>
      <c r="AD29" s="80">
        <v>3</v>
      </c>
    </row>
    <row r="30" spans="1:32" x14ac:dyDescent="0.25">
      <c r="A30" s="79" t="s">
        <v>73</v>
      </c>
      <c r="B30" s="79">
        <v>3</v>
      </c>
      <c r="C30" s="68">
        <v>1</v>
      </c>
      <c r="D30" s="79">
        <v>7</v>
      </c>
      <c r="E30" s="68">
        <f t="shared" si="0"/>
        <v>26</v>
      </c>
      <c r="F30" s="68">
        <f t="shared" si="1"/>
        <v>2.9</v>
      </c>
      <c r="G30" s="79" t="s">
        <v>209</v>
      </c>
      <c r="H30" s="80" t="s">
        <v>209</v>
      </c>
      <c r="I30" s="79">
        <v>3</v>
      </c>
      <c r="J30" s="80">
        <v>3</v>
      </c>
      <c r="K30" s="79">
        <v>3</v>
      </c>
      <c r="L30" s="80">
        <v>3</v>
      </c>
      <c r="U30" s="79">
        <v>3</v>
      </c>
      <c r="V30" s="80">
        <v>3</v>
      </c>
      <c r="W30" s="79">
        <v>2</v>
      </c>
      <c r="X30" s="80" t="s">
        <v>209</v>
      </c>
      <c r="Y30" s="79">
        <v>3</v>
      </c>
      <c r="Z30" s="80">
        <v>3</v>
      </c>
      <c r="AC30" s="79">
        <v>3</v>
      </c>
      <c r="AD30" s="80">
        <v>3</v>
      </c>
    </row>
    <row r="31" spans="1:32" x14ac:dyDescent="0.25">
      <c r="A31" s="79" t="s">
        <v>76</v>
      </c>
      <c r="B31" s="79">
        <v>4</v>
      </c>
      <c r="C31" s="68">
        <v>0</v>
      </c>
      <c r="D31" s="79">
        <v>7</v>
      </c>
      <c r="E31" s="68">
        <f t="shared" si="0"/>
        <v>23</v>
      </c>
      <c r="F31" s="68">
        <f t="shared" si="1"/>
        <v>2.6</v>
      </c>
      <c r="G31" s="79">
        <v>3</v>
      </c>
      <c r="H31" s="80">
        <v>1</v>
      </c>
      <c r="I31" s="79">
        <v>3</v>
      </c>
      <c r="J31" s="80">
        <v>3</v>
      </c>
      <c r="O31" s="79">
        <v>3</v>
      </c>
      <c r="P31" s="80" t="s">
        <v>209</v>
      </c>
      <c r="S31" s="79">
        <v>2</v>
      </c>
      <c r="T31" s="80" t="s">
        <v>209</v>
      </c>
      <c r="W31" s="79">
        <v>3</v>
      </c>
      <c r="X31" s="80">
        <v>2</v>
      </c>
      <c r="AA31" s="79">
        <v>3</v>
      </c>
      <c r="AB31" s="80" t="s">
        <v>209</v>
      </c>
      <c r="AE31" s="79">
        <v>3</v>
      </c>
      <c r="AF31" s="80" t="s">
        <v>209</v>
      </c>
    </row>
    <row r="32" spans="1:32" x14ac:dyDescent="0.25">
      <c r="A32" s="79" t="s">
        <v>41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32" x14ac:dyDescent="0.25">
      <c r="A33" s="79" t="s">
        <v>65</v>
      </c>
      <c r="B33" s="79">
        <v>0</v>
      </c>
      <c r="C33" s="68">
        <v>0</v>
      </c>
      <c r="D33" s="79">
        <v>3</v>
      </c>
      <c r="E33" s="68">
        <f t="shared" si="0"/>
        <v>10</v>
      </c>
      <c r="F33" s="68">
        <f t="shared" si="1"/>
        <v>2.5</v>
      </c>
      <c r="U33" s="79">
        <v>2</v>
      </c>
      <c r="V33" s="80">
        <v>3</v>
      </c>
      <c r="Y33" s="79">
        <v>2</v>
      </c>
      <c r="Z33" s="80">
        <v>3</v>
      </c>
      <c r="AE33" s="79">
        <v>3</v>
      </c>
      <c r="AF33" s="80">
        <v>2</v>
      </c>
    </row>
    <row r="34" spans="1:32" x14ac:dyDescent="0.25">
      <c r="A34" s="79" t="s">
        <v>10</v>
      </c>
      <c r="B34" s="79">
        <v>0</v>
      </c>
      <c r="C34" s="68">
        <v>0</v>
      </c>
      <c r="D34" s="79">
        <v>9</v>
      </c>
      <c r="E34" s="68">
        <f t="shared" ref="E34:E51" si="2">SUM(G34:AB34)</f>
        <v>45</v>
      </c>
      <c r="F34" s="68">
        <f t="shared" ref="F34:F65" si="3">ROUND(AVERAGE(G34:BF34),1)</f>
        <v>2.7</v>
      </c>
      <c r="G34" s="79">
        <v>3</v>
      </c>
      <c r="H34" s="80">
        <v>3</v>
      </c>
      <c r="I34" s="79">
        <v>2</v>
      </c>
      <c r="J34" s="80">
        <v>3</v>
      </c>
      <c r="K34" s="79">
        <v>3</v>
      </c>
      <c r="L34" s="80">
        <v>3</v>
      </c>
      <c r="M34" s="79">
        <v>2</v>
      </c>
      <c r="N34" s="80">
        <v>2</v>
      </c>
      <c r="O34" s="79">
        <v>3</v>
      </c>
      <c r="P34" s="80">
        <v>3</v>
      </c>
      <c r="Q34" s="79">
        <v>3</v>
      </c>
      <c r="R34" s="80">
        <v>3</v>
      </c>
      <c r="S34" s="79">
        <v>3</v>
      </c>
      <c r="T34" s="80">
        <v>3</v>
      </c>
      <c r="U34" s="79">
        <v>3</v>
      </c>
      <c r="V34" s="80">
        <v>3</v>
      </c>
      <c r="AE34" s="79">
        <v>3</v>
      </c>
      <c r="AF34" s="80">
        <v>1</v>
      </c>
    </row>
    <row r="35" spans="1:32" x14ac:dyDescent="0.25">
      <c r="A35" s="79" t="s">
        <v>45</v>
      </c>
      <c r="B35" s="79">
        <v>0</v>
      </c>
      <c r="C35" s="68">
        <v>0</v>
      </c>
      <c r="D35" s="79">
        <v>6</v>
      </c>
      <c r="E35" s="68">
        <f t="shared" si="2"/>
        <v>36</v>
      </c>
      <c r="F35" s="68">
        <f t="shared" si="3"/>
        <v>3</v>
      </c>
      <c r="I35" s="79">
        <v>3</v>
      </c>
      <c r="J35" s="80">
        <v>3</v>
      </c>
      <c r="M35" s="79">
        <v>3</v>
      </c>
      <c r="N35" s="80">
        <v>3</v>
      </c>
      <c r="O35" s="79">
        <v>3</v>
      </c>
      <c r="P35" s="80">
        <v>3</v>
      </c>
      <c r="Q35" s="79">
        <v>3</v>
      </c>
      <c r="R35" s="80">
        <v>3</v>
      </c>
      <c r="W35" s="79">
        <v>3</v>
      </c>
      <c r="X35" s="80">
        <v>3</v>
      </c>
      <c r="Y35" s="79">
        <v>3</v>
      </c>
      <c r="Z35" s="80">
        <v>3</v>
      </c>
      <c r="AE35" s="79">
        <v>3</v>
      </c>
      <c r="AF35" s="80">
        <v>3</v>
      </c>
    </row>
    <row r="36" spans="1:32" x14ac:dyDescent="0.25">
      <c r="A36" s="79" t="s">
        <v>222</v>
      </c>
      <c r="B36" s="79">
        <v>1</v>
      </c>
      <c r="C36" s="68">
        <v>0</v>
      </c>
      <c r="D36" s="79">
        <v>3</v>
      </c>
      <c r="E36" s="68">
        <f t="shared" si="2"/>
        <v>2</v>
      </c>
      <c r="F36" s="68">
        <f t="shared" si="3"/>
        <v>2</v>
      </c>
      <c r="Y36" s="79">
        <v>2</v>
      </c>
      <c r="Z36" s="80" t="s">
        <v>209</v>
      </c>
      <c r="AC36" s="79">
        <v>2</v>
      </c>
      <c r="AD36" s="80">
        <v>2</v>
      </c>
      <c r="AE36" s="79">
        <v>1</v>
      </c>
      <c r="AF36" s="80">
        <v>3</v>
      </c>
    </row>
    <row r="37" spans="1:32" x14ac:dyDescent="0.25">
      <c r="A37" s="79" t="s">
        <v>210</v>
      </c>
      <c r="B37" s="79">
        <v>2</v>
      </c>
      <c r="C37" s="68">
        <v>1</v>
      </c>
      <c r="D37" s="79">
        <v>6</v>
      </c>
      <c r="E37" s="68">
        <f t="shared" si="2"/>
        <v>18</v>
      </c>
      <c r="F37" s="68">
        <f t="shared" si="3"/>
        <v>2.9</v>
      </c>
      <c r="S37" s="79">
        <v>3</v>
      </c>
      <c r="T37" s="80">
        <v>3</v>
      </c>
      <c r="U37" s="79" t="s">
        <v>209</v>
      </c>
      <c r="V37" s="80" t="s">
        <v>209</v>
      </c>
      <c r="W37" s="79">
        <v>3</v>
      </c>
      <c r="X37" s="80">
        <v>3</v>
      </c>
      <c r="Y37" s="79">
        <v>3</v>
      </c>
      <c r="Z37" s="80">
        <v>3</v>
      </c>
      <c r="AC37" s="79">
        <v>3</v>
      </c>
      <c r="AD37" s="80">
        <v>3</v>
      </c>
      <c r="AE37" s="79">
        <v>2</v>
      </c>
      <c r="AF37" s="80">
        <v>3</v>
      </c>
    </row>
    <row r="38" spans="1:32" x14ac:dyDescent="0.25">
      <c r="A38" s="79" t="s">
        <v>79</v>
      </c>
      <c r="B38" s="79">
        <v>2</v>
      </c>
      <c r="C38" s="68">
        <v>1</v>
      </c>
      <c r="D38" s="79">
        <v>9</v>
      </c>
      <c r="E38" s="68">
        <f t="shared" si="2"/>
        <v>25</v>
      </c>
      <c r="F38" s="68">
        <f t="shared" si="3"/>
        <v>2</v>
      </c>
      <c r="I38" s="79" t="s">
        <v>209</v>
      </c>
      <c r="J38" s="80" t="s">
        <v>209</v>
      </c>
      <c r="K38" s="79">
        <v>3</v>
      </c>
      <c r="L38" s="80">
        <v>3</v>
      </c>
      <c r="M38" s="79">
        <v>1</v>
      </c>
      <c r="N38" s="80">
        <v>1</v>
      </c>
      <c r="O38" s="79">
        <v>0</v>
      </c>
      <c r="P38" s="80" t="s">
        <v>209</v>
      </c>
      <c r="Q38" s="79">
        <v>2</v>
      </c>
      <c r="R38" s="80" t="s">
        <v>209</v>
      </c>
      <c r="W38" s="79">
        <v>3</v>
      </c>
      <c r="X38" s="80">
        <v>3</v>
      </c>
      <c r="Y38" s="79">
        <v>3</v>
      </c>
      <c r="Z38" s="80">
        <v>2</v>
      </c>
      <c r="AA38" s="79">
        <v>3</v>
      </c>
      <c r="AB38" s="80">
        <v>1</v>
      </c>
      <c r="AC38" s="79">
        <v>1</v>
      </c>
      <c r="AD38" s="80">
        <v>1</v>
      </c>
      <c r="AE38" s="79">
        <v>3</v>
      </c>
      <c r="AF38" s="80">
        <v>2</v>
      </c>
    </row>
    <row r="39" spans="1:32" x14ac:dyDescent="0.25">
      <c r="A39" s="79" t="s">
        <v>86</v>
      </c>
      <c r="B39" s="79">
        <v>0</v>
      </c>
      <c r="C39" s="68">
        <v>0</v>
      </c>
      <c r="D39" s="79">
        <v>0</v>
      </c>
      <c r="E39" s="68">
        <f t="shared" si="2"/>
        <v>0</v>
      </c>
      <c r="F39" s="68" t="e">
        <f t="shared" si="3"/>
        <v>#DIV/0!</v>
      </c>
    </row>
    <row r="40" spans="1:32" x14ac:dyDescent="0.25">
      <c r="A40" s="79" t="s">
        <v>226</v>
      </c>
      <c r="B40" s="79">
        <v>0</v>
      </c>
      <c r="C40" s="68">
        <v>0</v>
      </c>
      <c r="D40" s="79">
        <v>0</v>
      </c>
      <c r="E40" s="68">
        <f t="shared" si="2"/>
        <v>0</v>
      </c>
      <c r="F40" s="68" t="e">
        <f t="shared" si="3"/>
        <v>#DIV/0!</v>
      </c>
    </row>
    <row r="41" spans="1:32" x14ac:dyDescent="0.25">
      <c r="A41" s="79" t="s">
        <v>22</v>
      </c>
      <c r="B41" s="79">
        <v>0</v>
      </c>
      <c r="C41" s="68">
        <v>0</v>
      </c>
      <c r="D41" s="79">
        <v>13</v>
      </c>
      <c r="E41" s="68">
        <f t="shared" si="2"/>
        <v>54</v>
      </c>
      <c r="F41" s="68">
        <f t="shared" si="3"/>
        <v>2.5</v>
      </c>
      <c r="G41" s="79">
        <v>1</v>
      </c>
      <c r="H41" s="80">
        <v>3</v>
      </c>
      <c r="I41" s="79">
        <v>3</v>
      </c>
      <c r="J41" s="80">
        <v>3</v>
      </c>
      <c r="K41" s="79">
        <v>1</v>
      </c>
      <c r="L41" s="80">
        <v>3</v>
      </c>
      <c r="M41" s="79">
        <v>2</v>
      </c>
      <c r="N41" s="80">
        <v>3</v>
      </c>
      <c r="O41" s="79">
        <v>1</v>
      </c>
      <c r="P41" s="80">
        <v>3</v>
      </c>
      <c r="Q41" s="79">
        <v>3</v>
      </c>
      <c r="R41" s="80">
        <v>3</v>
      </c>
      <c r="S41" s="79">
        <v>3</v>
      </c>
      <c r="T41" s="80">
        <v>3</v>
      </c>
      <c r="U41" s="79">
        <v>3</v>
      </c>
      <c r="V41" s="80">
        <v>3</v>
      </c>
      <c r="W41" s="79">
        <v>3</v>
      </c>
      <c r="X41" s="80">
        <v>3</v>
      </c>
      <c r="Y41" s="79">
        <v>3</v>
      </c>
      <c r="Z41" s="80">
        <v>1</v>
      </c>
      <c r="AA41" s="79">
        <v>1</v>
      </c>
      <c r="AB41" s="80">
        <v>2</v>
      </c>
      <c r="AC41" s="79">
        <v>3</v>
      </c>
      <c r="AD41" s="80">
        <v>2</v>
      </c>
      <c r="AE41" s="79">
        <v>3</v>
      </c>
      <c r="AF41" s="80">
        <v>3</v>
      </c>
    </row>
    <row r="42" spans="1:32" x14ac:dyDescent="0.25">
      <c r="A42" s="79" t="s">
        <v>114</v>
      </c>
      <c r="B42" s="79">
        <v>4</v>
      </c>
      <c r="C42" s="68">
        <v>1</v>
      </c>
      <c r="D42" s="79">
        <v>4</v>
      </c>
      <c r="E42" s="68">
        <f t="shared" si="2"/>
        <v>8</v>
      </c>
      <c r="F42" s="68">
        <f t="shared" si="3"/>
        <v>2</v>
      </c>
      <c r="G42" s="79">
        <v>1</v>
      </c>
      <c r="H42" s="80" t="s">
        <v>209</v>
      </c>
      <c r="I42" s="79">
        <v>1</v>
      </c>
      <c r="J42" s="80" t="s">
        <v>209</v>
      </c>
      <c r="K42" s="79" t="s">
        <v>209</v>
      </c>
      <c r="L42" s="80" t="s">
        <v>209</v>
      </c>
      <c r="O42" s="79">
        <v>3</v>
      </c>
      <c r="P42" s="80">
        <v>3</v>
      </c>
    </row>
    <row r="43" spans="1:32" x14ac:dyDescent="0.25">
      <c r="A43" s="79" t="s">
        <v>77</v>
      </c>
      <c r="B43" s="79">
        <v>0</v>
      </c>
      <c r="C43" s="68">
        <v>0</v>
      </c>
      <c r="D43" s="79">
        <v>4</v>
      </c>
      <c r="E43" s="68">
        <f t="shared" si="2"/>
        <v>23</v>
      </c>
      <c r="F43" s="68">
        <f t="shared" si="3"/>
        <v>2.9</v>
      </c>
      <c r="G43" s="79">
        <v>3</v>
      </c>
      <c r="H43" s="80">
        <v>3</v>
      </c>
      <c r="I43" s="79">
        <v>2</v>
      </c>
      <c r="J43" s="80">
        <v>3</v>
      </c>
      <c r="O43" s="79">
        <v>3</v>
      </c>
      <c r="P43" s="80">
        <v>3</v>
      </c>
      <c r="Q43" s="79">
        <v>3</v>
      </c>
      <c r="R43" s="80">
        <v>3</v>
      </c>
    </row>
    <row r="44" spans="1:32" x14ac:dyDescent="0.25">
      <c r="A44" s="79" t="s">
        <v>214</v>
      </c>
      <c r="B44" s="79">
        <v>0</v>
      </c>
      <c r="C44" s="68">
        <v>0</v>
      </c>
      <c r="D44" s="79">
        <v>8</v>
      </c>
      <c r="E44" s="68">
        <f t="shared" si="2"/>
        <v>36</v>
      </c>
      <c r="F44" s="68">
        <f t="shared" si="3"/>
        <v>2</v>
      </c>
      <c r="G44" s="79">
        <v>2</v>
      </c>
      <c r="H44" s="80">
        <v>3</v>
      </c>
      <c r="I44" s="79">
        <v>1</v>
      </c>
      <c r="J44" s="80">
        <v>1</v>
      </c>
      <c r="K44" s="79">
        <v>3</v>
      </c>
      <c r="L44" s="80">
        <v>2</v>
      </c>
      <c r="M44" s="79">
        <v>1</v>
      </c>
      <c r="N44" s="80">
        <v>2</v>
      </c>
      <c r="O44" s="79">
        <v>1</v>
      </c>
      <c r="P44" s="80">
        <v>1</v>
      </c>
      <c r="Q44" s="79">
        <v>1</v>
      </c>
      <c r="R44" s="80">
        <v>3</v>
      </c>
      <c r="U44" s="79">
        <v>3</v>
      </c>
      <c r="V44" s="80">
        <v>2</v>
      </c>
      <c r="Y44" s="79">
        <v>2</v>
      </c>
      <c r="Z44" s="80">
        <v>2</v>
      </c>
      <c r="AA44" s="79">
        <v>3</v>
      </c>
      <c r="AB44" s="80">
        <v>3</v>
      </c>
    </row>
    <row r="45" spans="1:32" x14ac:dyDescent="0.25">
      <c r="A45" s="79" t="s">
        <v>72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32" x14ac:dyDescent="0.25">
      <c r="A46" s="79" t="s">
        <v>218</v>
      </c>
      <c r="B46" s="79">
        <v>0</v>
      </c>
      <c r="C46" s="68">
        <v>0</v>
      </c>
      <c r="D46" s="79">
        <v>0</v>
      </c>
      <c r="E46" s="68">
        <f t="shared" si="2"/>
        <v>0</v>
      </c>
      <c r="F46" s="68" t="e">
        <f t="shared" si="3"/>
        <v>#DIV/0!</v>
      </c>
    </row>
    <row r="47" spans="1:32" x14ac:dyDescent="0.25">
      <c r="A47" s="79" t="s">
        <v>74</v>
      </c>
      <c r="B47" s="79">
        <v>0</v>
      </c>
      <c r="C47" s="68">
        <v>0</v>
      </c>
      <c r="D47" s="79">
        <v>5</v>
      </c>
      <c r="E47" s="68">
        <f t="shared" si="2"/>
        <v>15</v>
      </c>
      <c r="F47" s="68">
        <f t="shared" si="3"/>
        <v>2.6</v>
      </c>
      <c r="O47" s="79">
        <v>3</v>
      </c>
      <c r="P47" s="80">
        <v>2</v>
      </c>
      <c r="Q47" s="79">
        <v>3</v>
      </c>
      <c r="R47" s="80">
        <v>2</v>
      </c>
      <c r="W47" s="79">
        <v>2</v>
      </c>
      <c r="X47" s="80">
        <v>3</v>
      </c>
      <c r="AC47" s="79">
        <v>3</v>
      </c>
      <c r="AD47" s="80">
        <v>2</v>
      </c>
      <c r="AE47" s="79">
        <v>3</v>
      </c>
      <c r="AF47" s="80">
        <v>3</v>
      </c>
    </row>
    <row r="48" spans="1:32" x14ac:dyDescent="0.25">
      <c r="A48" s="79" t="s">
        <v>62</v>
      </c>
      <c r="B48" s="79">
        <v>2</v>
      </c>
      <c r="C48" s="68">
        <v>1</v>
      </c>
      <c r="D48" s="79">
        <v>2</v>
      </c>
      <c r="E48" s="68">
        <f t="shared" si="2"/>
        <v>5</v>
      </c>
      <c r="F48" s="68">
        <f t="shared" si="3"/>
        <v>2.5</v>
      </c>
      <c r="K48" s="79" t="s">
        <v>209</v>
      </c>
      <c r="L48" s="80" t="s">
        <v>209</v>
      </c>
      <c r="Q48" s="79">
        <v>2</v>
      </c>
      <c r="R48" s="80">
        <v>3</v>
      </c>
    </row>
    <row r="49" spans="1:32" x14ac:dyDescent="0.25">
      <c r="A49" s="79" t="s">
        <v>57</v>
      </c>
      <c r="B49" s="79">
        <v>2</v>
      </c>
      <c r="C49" s="68">
        <v>1</v>
      </c>
      <c r="D49" s="79">
        <v>10</v>
      </c>
      <c r="E49" s="68">
        <f t="shared" si="2"/>
        <v>41</v>
      </c>
      <c r="F49" s="68">
        <f t="shared" si="3"/>
        <v>2.6</v>
      </c>
      <c r="G49" s="79">
        <v>2</v>
      </c>
      <c r="H49" s="80">
        <v>3</v>
      </c>
      <c r="I49" s="79">
        <v>2</v>
      </c>
      <c r="J49" s="80">
        <v>3</v>
      </c>
      <c r="K49" s="79" t="s">
        <v>209</v>
      </c>
      <c r="L49" s="80" t="s">
        <v>209</v>
      </c>
      <c r="O49" s="79">
        <v>3</v>
      </c>
      <c r="P49" s="80">
        <v>2</v>
      </c>
      <c r="Q49" s="79">
        <v>3</v>
      </c>
      <c r="R49" s="80">
        <v>3</v>
      </c>
      <c r="S49" s="79">
        <v>2</v>
      </c>
      <c r="T49" s="80">
        <v>2</v>
      </c>
      <c r="W49" s="79">
        <v>3</v>
      </c>
      <c r="X49" s="80">
        <v>3</v>
      </c>
      <c r="Y49" s="79">
        <v>2</v>
      </c>
      <c r="Z49" s="80">
        <v>3</v>
      </c>
      <c r="AA49" s="79">
        <v>3</v>
      </c>
      <c r="AB49" s="80">
        <v>2</v>
      </c>
      <c r="AC49" s="79">
        <v>2</v>
      </c>
      <c r="AD49" s="80">
        <v>3</v>
      </c>
    </row>
    <row r="50" spans="1:32" x14ac:dyDescent="0.25">
      <c r="A50" s="79" t="s">
        <v>43</v>
      </c>
      <c r="B50" s="79">
        <v>2</v>
      </c>
      <c r="C50" s="68">
        <v>1</v>
      </c>
      <c r="D50" s="79">
        <v>2</v>
      </c>
      <c r="E50" s="68">
        <f t="shared" si="2"/>
        <v>3</v>
      </c>
      <c r="F50" s="68">
        <f t="shared" si="3"/>
        <v>3</v>
      </c>
      <c r="G50" s="79" t="s">
        <v>209</v>
      </c>
      <c r="H50" s="80" t="s">
        <v>209</v>
      </c>
      <c r="O50" s="79">
        <v>3</v>
      </c>
      <c r="P50" s="80" t="s">
        <v>209</v>
      </c>
    </row>
    <row r="51" spans="1:32" x14ac:dyDescent="0.25">
      <c r="A51" s="79" t="s">
        <v>216</v>
      </c>
      <c r="B51" s="79">
        <v>1</v>
      </c>
      <c r="C51" s="68">
        <v>0</v>
      </c>
      <c r="D51" s="79">
        <v>6</v>
      </c>
      <c r="E51" s="68">
        <f t="shared" si="2"/>
        <v>17</v>
      </c>
      <c r="F51" s="68">
        <f t="shared" si="3"/>
        <v>2.4</v>
      </c>
      <c r="U51" s="79">
        <v>3</v>
      </c>
      <c r="V51" s="80">
        <v>2</v>
      </c>
      <c r="W51" s="79">
        <v>2</v>
      </c>
      <c r="X51" s="80" t="s">
        <v>209</v>
      </c>
      <c r="Y51" s="79">
        <v>2</v>
      </c>
      <c r="Z51" s="80">
        <v>2</v>
      </c>
      <c r="AA51" s="79">
        <v>3</v>
      </c>
      <c r="AB51" s="80">
        <v>3</v>
      </c>
      <c r="AC51" s="79">
        <v>2</v>
      </c>
      <c r="AD51" s="80">
        <v>2</v>
      </c>
      <c r="AE51" s="79">
        <v>3</v>
      </c>
      <c r="AF51" s="80">
        <v>2</v>
      </c>
    </row>
  </sheetData>
  <autoFilter ref="A1:CL1" xr:uid="{00000000-0009-0000-0000-000005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2026-01-27T15:42:29Z</dcterms:modified>
</cp:coreProperties>
</file>