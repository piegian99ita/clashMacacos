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13_ncr:1_{1CD9DD9B-29D7-4D83-9C0E-F6C379C46251}" xr6:coauthVersionLast="47" xr6:coauthVersionMax="47" xr10:uidLastSave="{00000000-0000-0000-0000-000000000000}"/>
  <bookViews>
    <workbookView xWindow="-120" yWindow="-120" windowWidth="29040" windowHeight="15840" activeTab="4" xr2:uid="{2B27E2D7-7E1F-4830-8A43-C634E6A715E0}"/>
  </bookViews>
  <sheets>
    <sheet name="CWL 1" sheetId="1" r:id="rId1"/>
    <sheet name="CWL 2" sheetId="2" r:id="rId2"/>
    <sheet name="avv" sheetId="7" r:id="rId3"/>
    <sheet name="partecipanti" sheetId="3" r:id="rId4"/>
    <sheet name="wars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8" l="1"/>
  <c r="F42" i="8"/>
  <c r="F43" i="8"/>
  <c r="F13" i="8"/>
  <c r="F7" i="8"/>
  <c r="F40" i="8"/>
  <c r="F39" i="8"/>
  <c r="F27" i="8"/>
  <c r="F45" i="8"/>
  <c r="F8" i="8"/>
  <c r="F20" i="8"/>
  <c r="F29" i="8"/>
  <c r="F50" i="8"/>
  <c r="F32" i="8"/>
  <c r="F46" i="8"/>
  <c r="F34" i="8"/>
  <c r="F44" i="8"/>
  <c r="F51" i="8"/>
  <c r="F17" i="8"/>
  <c r="F26" i="8"/>
  <c r="F49" i="8"/>
  <c r="F35" i="8"/>
  <c r="F22" i="8"/>
  <c r="F24" i="8"/>
  <c r="F3" i="8"/>
  <c r="F15" i="8"/>
  <c r="F2" i="8"/>
  <c r="F19" i="8"/>
  <c r="F18" i="8"/>
  <c r="F31" i="8"/>
  <c r="F12" i="8"/>
  <c r="F41" i="8"/>
  <c r="F33" i="8"/>
  <c r="F4" i="8"/>
  <c r="F14" i="8"/>
  <c r="F9" i="8"/>
  <c r="F47" i="8"/>
  <c r="F48" i="8"/>
  <c r="F16" i="8"/>
  <c r="F37" i="8"/>
  <c r="F30" i="8"/>
  <c r="F25" i="8"/>
  <c r="F38" i="8"/>
  <c r="F5" i="8"/>
  <c r="F10" i="8"/>
  <c r="F11" i="8"/>
  <c r="F21" i="8"/>
  <c r="F36" i="8"/>
  <c r="F28" i="8"/>
  <c r="F23" i="8"/>
  <c r="E6" i="8"/>
  <c r="E42" i="8"/>
  <c r="E43" i="8"/>
  <c r="E13" i="8"/>
  <c r="E7" i="8"/>
  <c r="E40" i="8"/>
  <c r="E39" i="8"/>
  <c r="E27" i="8"/>
  <c r="E45" i="8"/>
  <c r="E8" i="8"/>
  <c r="E20" i="8"/>
  <c r="E29" i="8"/>
  <c r="E50" i="8"/>
  <c r="E32" i="8"/>
  <c r="E46" i="8"/>
  <c r="E34" i="8"/>
  <c r="E44" i="8"/>
  <c r="E51" i="8"/>
  <c r="E17" i="8"/>
  <c r="E26" i="8"/>
  <c r="E49" i="8"/>
  <c r="E35" i="8"/>
  <c r="E22" i="8"/>
  <c r="E24" i="8"/>
  <c r="E3" i="8"/>
  <c r="E15" i="8"/>
  <c r="E2" i="8"/>
  <c r="E19" i="8"/>
  <c r="E18" i="8"/>
  <c r="E31" i="8"/>
  <c r="E12" i="8"/>
  <c r="E41" i="8"/>
  <c r="E33" i="8"/>
  <c r="E4" i="8"/>
  <c r="E14" i="8"/>
  <c r="E9" i="8"/>
  <c r="E47" i="8"/>
  <c r="E48" i="8"/>
  <c r="E16" i="8"/>
  <c r="E37" i="8"/>
  <c r="E30" i="8"/>
  <c r="E25" i="8"/>
  <c r="E38" i="8"/>
  <c r="E5" i="8"/>
  <c r="E10" i="8"/>
  <c r="E11" i="8"/>
  <c r="E21" i="8"/>
  <c r="E36" i="8"/>
  <c r="E28" i="8"/>
  <c r="E23" i="8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S12" i="2"/>
  <c r="S7" i="2"/>
  <c r="J21" i="2"/>
  <c r="M21" i="2"/>
  <c r="P21" i="2"/>
  <c r="S21" i="2"/>
  <c r="S3" i="2"/>
  <c r="P10" i="2"/>
  <c r="P14" i="2"/>
  <c r="P15" i="2"/>
  <c r="P27" i="2"/>
  <c r="P30" i="2"/>
  <c r="P29" i="2"/>
  <c r="P25" i="2"/>
  <c r="P23" i="2"/>
  <c r="P13" i="2"/>
  <c r="P5" i="2"/>
  <c r="V34" i="2"/>
  <c r="S34" i="2"/>
  <c r="P34" i="2"/>
  <c r="D34" i="2"/>
  <c r="M12" i="2"/>
  <c r="M13" i="2"/>
  <c r="M14" i="2"/>
  <c r="S4" i="2"/>
  <c r="S5" i="2"/>
  <c r="S6" i="2"/>
  <c r="S8" i="2"/>
  <c r="S9" i="2"/>
  <c r="S10" i="2"/>
  <c r="S11" i="2"/>
  <c r="S13" i="2"/>
  <c r="S14" i="2"/>
  <c r="S15" i="2"/>
  <c r="S16" i="2"/>
  <c r="S17" i="2"/>
  <c r="S18" i="2"/>
  <c r="S20" i="2"/>
  <c r="S22" i="2"/>
  <c r="S23" i="2"/>
  <c r="S25" i="2"/>
  <c r="S24" i="2"/>
  <c r="S26" i="2"/>
  <c r="S27" i="2"/>
  <c r="S28" i="2"/>
  <c r="S29" i="2"/>
  <c r="S30" i="2"/>
  <c r="S19" i="2"/>
  <c r="S31" i="2"/>
  <c r="S32" i="2"/>
  <c r="V3" i="2"/>
  <c r="P4" i="2"/>
  <c r="P7" i="2"/>
  <c r="P8" i="2"/>
  <c r="P11" i="2"/>
  <c r="P12" i="2"/>
  <c r="P16" i="2"/>
  <c r="P17" i="2"/>
  <c r="P18" i="2"/>
  <c r="P20" i="2"/>
  <c r="P22" i="2"/>
  <c r="P26" i="2"/>
  <c r="P28" i="2"/>
  <c r="P19" i="2"/>
  <c r="P31" i="2"/>
  <c r="P3" i="2"/>
  <c r="M5" i="2"/>
  <c r="M6" i="2"/>
  <c r="M7" i="2"/>
  <c r="M8" i="2"/>
  <c r="M10" i="2"/>
  <c r="M11" i="2"/>
  <c r="M15" i="2"/>
  <c r="M16" i="2"/>
  <c r="M17" i="2"/>
  <c r="M18" i="2"/>
  <c r="M20" i="2"/>
  <c r="M22" i="2"/>
  <c r="M23" i="2"/>
  <c r="M24" i="2"/>
  <c r="M26" i="2"/>
  <c r="M28" i="2"/>
  <c r="M29" i="2"/>
  <c r="M30" i="2"/>
  <c r="M31" i="2"/>
  <c r="M3" i="2"/>
  <c r="J6" i="2"/>
  <c r="J8" i="2"/>
  <c r="J7" i="2"/>
  <c r="J10" i="2"/>
  <c r="J11" i="2"/>
  <c r="J13" i="2"/>
  <c r="J14" i="2"/>
  <c r="J15" i="2"/>
  <c r="J17" i="2"/>
  <c r="J16" i="2"/>
  <c r="J18" i="2"/>
  <c r="J20" i="2"/>
  <c r="J22" i="2"/>
  <c r="J23" i="2"/>
  <c r="J25" i="2"/>
  <c r="J27" i="2"/>
  <c r="J28" i="2"/>
  <c r="J30" i="2"/>
  <c r="J31" i="2"/>
  <c r="J32" i="2"/>
  <c r="J29" i="2"/>
  <c r="J3" i="2"/>
  <c r="G3" i="2"/>
  <c r="G28" i="2"/>
  <c r="G25" i="2"/>
  <c r="G18" i="2"/>
  <c r="G17" i="2"/>
  <c r="G14" i="2"/>
  <c r="G13" i="2"/>
  <c r="G11" i="2"/>
  <c r="G26" i="2"/>
  <c r="G29" i="2"/>
  <c r="G32" i="2"/>
  <c r="G31" i="2"/>
  <c r="G30" i="2"/>
  <c r="G27" i="2"/>
  <c r="G23" i="2"/>
  <c r="G22" i="2"/>
  <c r="G20" i="2"/>
  <c r="G16" i="2"/>
  <c r="G15" i="2"/>
  <c r="G10" i="2"/>
  <c r="G7" i="2"/>
  <c r="G8" i="2"/>
  <c r="G5" i="2"/>
  <c r="G4" i="2"/>
  <c r="D3" i="2"/>
  <c r="D26" i="2"/>
  <c r="D28" i="2"/>
  <c r="D6" i="2"/>
  <c r="D17" i="2"/>
  <c r="D13" i="2"/>
  <c r="D14" i="2"/>
  <c r="D29" i="2"/>
  <c r="D31" i="2"/>
  <c r="D32" i="2"/>
  <c r="D30" i="2"/>
  <c r="D27" i="2"/>
  <c r="D22" i="2"/>
  <c r="D20" i="2"/>
  <c r="D16" i="2"/>
  <c r="D18" i="2"/>
  <c r="D25" i="2"/>
  <c r="D23" i="2"/>
  <c r="D15" i="2"/>
  <c r="D12" i="2"/>
  <c r="D11" i="2"/>
  <c r="D10" i="2"/>
  <c r="D7" i="2"/>
  <c r="D8" i="2"/>
  <c r="D4" i="2"/>
  <c r="D5" i="2"/>
</calcChain>
</file>

<file path=xl/sharedStrings.xml><?xml version="1.0" encoding="utf-8"?>
<sst xmlns="http://schemas.openxmlformats.org/spreadsheetml/2006/main" count="323" uniqueCount="194">
  <si>
    <t>nome</t>
  </si>
  <si>
    <t>xblade</t>
  </si>
  <si>
    <t>marcojk</t>
  </si>
  <si>
    <t>dado</t>
  </si>
  <si>
    <t>bigmc</t>
  </si>
  <si>
    <t>luigi01</t>
  </si>
  <si>
    <t>piegian99</t>
  </si>
  <si>
    <t>luigi</t>
  </si>
  <si>
    <t>stentaa</t>
  </si>
  <si>
    <t>leo</t>
  </si>
  <si>
    <t>cleopatra</t>
  </si>
  <si>
    <t>haha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</si>
  <si>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</si>
  <si>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</si>
  <si>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</si>
  <si>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</si>
  <si>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</si>
  <si>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</si>
  <si>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</si>
  <si>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</si>
  <si>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</si>
  <si>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</si>
  <si>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</si>
  <si>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</si>
  <si>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</si>
  <si>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</si>
  <si>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</si>
  <si>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</si>
  <si>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</si>
  <si>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</si>
  <si>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simone</t>
  </si>
  <si>
    <t>stelle</t>
  </si>
  <si>
    <t>th</t>
  </si>
  <si>
    <t>pos</t>
  </si>
  <si>
    <t>12 13</t>
  </si>
  <si>
    <t>11 12</t>
  </si>
  <si>
    <t>10 11</t>
  </si>
  <si>
    <t>attacco basso</t>
  </si>
  <si>
    <t>attacco pessimo</t>
  </si>
  <si>
    <t>no attacco</t>
  </si>
  <si>
    <t>assegnazione forzata</t>
  </si>
  <si>
    <t>pigiamone99</t>
  </si>
  <si>
    <t>sono io lakaka</t>
  </si>
  <si>
    <t>serra</t>
  </si>
  <si>
    <t>chabby</t>
  </si>
  <si>
    <t>sidcu</t>
  </si>
  <si>
    <t>di gio</t>
  </si>
  <si>
    <t>d 011</t>
  </si>
  <si>
    <t>zombra</t>
  </si>
  <si>
    <t>kakko garau</t>
  </si>
  <si>
    <t>serena</t>
  </si>
  <si>
    <t>heloo</t>
  </si>
  <si>
    <t>maikol_lix</t>
  </si>
  <si>
    <t>ajejebrazorf</t>
  </si>
  <si>
    <t>edododo</t>
  </si>
  <si>
    <t>marcojk007</t>
  </si>
  <si>
    <t>gionny</t>
  </si>
  <si>
    <t>dela</t>
  </si>
  <si>
    <t>nik</t>
  </si>
  <si>
    <t>buff x bow</t>
  </si>
  <si>
    <t>christian</t>
  </si>
  <si>
    <t>fabio</t>
  </si>
  <si>
    <t>daniele</t>
  </si>
  <si>
    <t>federico99</t>
  </si>
  <si>
    <t>lord pucci</t>
  </si>
  <si>
    <t>ottimo attacco</t>
  </si>
  <si>
    <t>18+ pos</t>
  </si>
  <si>
    <t>buff-x-bow</t>
  </si>
  <si>
    <t xml:space="preserve"> attacco ok</t>
  </si>
  <si>
    <t>attacco meh</t>
  </si>
  <si>
    <t>CWL2</t>
  </si>
  <si>
    <t>Colonna11</t>
  </si>
  <si>
    <t>Colonna12</t>
  </si>
  <si>
    <t>Colonna13</t>
  </si>
  <si>
    <t>Colonna14</t>
  </si>
  <si>
    <t>Colonna15</t>
  </si>
  <si>
    <t>Colonna16</t>
  </si>
  <si>
    <t>Colonna17</t>
  </si>
  <si>
    <t>Colonna18</t>
  </si>
  <si>
    <t>Colonna19</t>
  </si>
  <si>
    <t>Colonna20</t>
  </si>
  <si>
    <t>Colonna21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</si>
  <si>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</si>
  <si>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</si>
  <si>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</si>
  <si>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</si>
  <si>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</si>
  <si>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</si>
  <si>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</si>
  <si>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</si>
  <si>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</si>
  <si>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</si>
  <si>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</si>
  <si>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Colonna33</t>
  </si>
  <si>
    <t>Colonna34</t>
  </si>
  <si>
    <t>Colonna35</t>
  </si>
  <si>
    <t>Colonna36</t>
  </si>
  <si>
    <t>Colonna37</t>
  </si>
  <si>
    <t>Colonna38</t>
  </si>
  <si>
    <t>Colonna39</t>
  </si>
  <si>
    <t>Colonna40</t>
  </si>
  <si>
    <t>Colonna41</t>
  </si>
  <si>
    <t>Colonna42</t>
  </si>
  <si>
    <t>Colonna43</t>
  </si>
  <si>
    <t>Colonna44</t>
  </si>
  <si>
    <t>Colonna45</t>
  </si>
  <si>
    <t>Colonna46</t>
  </si>
  <si>
    <t>Colonna47</t>
  </si>
  <si>
    <t>Colonna48</t>
  </si>
  <si>
    <t>Colonna49</t>
  </si>
  <si>
    <t>Colonna50</t>
  </si>
  <si>
    <t>Colonna51</t>
  </si>
  <si>
    <t>Colonna52</t>
  </si>
  <si>
    <t>Colonna53</t>
  </si>
  <si>
    <t>Colonna54</t>
  </si>
  <si>
    <t>Colonna55</t>
  </si>
  <si>
    <t>Colonna56</t>
  </si>
  <si>
    <t>Colonna57</t>
  </si>
  <si>
    <t>Colonna58</t>
  </si>
  <si>
    <t>Colonna59</t>
  </si>
  <si>
    <t>Colonna60</t>
  </si>
  <si>
    <t>Colonna61</t>
  </si>
  <si>
    <t>Colonna62</t>
  </si>
  <si>
    <t>Colonna63</t>
  </si>
  <si>
    <t>Colonna64</t>
  </si>
  <si>
    <t>Colonna65</t>
  </si>
  <si>
    <t>Colonna66</t>
  </si>
  <si>
    <t>Colonna67</t>
  </si>
  <si>
    <t>Colonna68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</si>
  <si>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</si>
  <si>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</si>
  <si>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</si>
  <si>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</si>
  <si>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</si>
  <si>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</si>
  <si>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</si>
  <si>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</si>
  <si>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</si>
  <si>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</si>
  <si>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</si>
  <si>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</si>
  <si>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</si>
  <si>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</si>
  <si>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</si>
  <si>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</si>
  <si>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</si>
  <si>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</si>
  <si>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</si>
  <si>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NAME</t>
  </si>
  <si>
    <t>ATK SKIP</t>
  </si>
  <si>
    <t>AVG STAR</t>
  </si>
  <si>
    <t>ER DANDI 1927</t>
  </si>
  <si>
    <t>Chabby</t>
  </si>
  <si>
    <t>Luigi</t>
  </si>
  <si>
    <t>Brazo</t>
  </si>
  <si>
    <t>Valh</t>
  </si>
  <si>
    <t>Matty7_</t>
  </si>
  <si>
    <t>Stentaaa</t>
  </si>
  <si>
    <t>RobbyCV</t>
  </si>
  <si>
    <t>GiornoBrando</t>
  </si>
  <si>
    <t>Rosario</t>
  </si>
  <si>
    <t>xbladze</t>
  </si>
  <si>
    <t>Simone</t>
  </si>
  <si>
    <t>HikariNoRob</t>
  </si>
  <si>
    <t>EdoDodo</t>
  </si>
  <si>
    <t>BigMc23</t>
  </si>
  <si>
    <t>Sub.WayGud</t>
  </si>
  <si>
    <t>king</t>
  </si>
  <si>
    <t>Luxor</t>
  </si>
  <si>
    <t>D 011</t>
  </si>
  <si>
    <t>gh</t>
  </si>
  <si>
    <t>Floky23</t>
  </si>
  <si>
    <t>Roberta</t>
  </si>
  <si>
    <t>CARFI</t>
  </si>
  <si>
    <t>shark</t>
  </si>
  <si>
    <t>Cleopatra</t>
  </si>
  <si>
    <t>dux104</t>
  </si>
  <si>
    <t>th4nos</t>
  </si>
  <si>
    <t>R1cky_boffo</t>
  </si>
  <si>
    <t>tustrunz</t>
  </si>
  <si>
    <t>sidcu js</t>
  </si>
  <si>
    <t>Alaa</t>
  </si>
  <si>
    <t>buff x-bow</t>
  </si>
  <si>
    <t>SubOhm</t>
  </si>
  <si>
    <t>P.E.K.K.A</t>
  </si>
  <si>
    <t>LELE11GAM3R</t>
  </si>
  <si>
    <t>TOT WARS</t>
  </si>
  <si>
    <t>TOT STARS</t>
  </si>
  <si>
    <t>WAR-1 (1)</t>
  </si>
  <si>
    <t>WAR-1 (2)</t>
  </si>
  <si>
    <t>WAR-2 (1)</t>
  </si>
  <si>
    <t>WAR-2 (2)</t>
  </si>
  <si>
    <t>SKIP</t>
  </si>
  <si>
    <t>ZERO WAR  ATK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</si>
</sst>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top"/>
    </xf>
    <xf numFmtId="0" fontId="2" fillId="11" borderId="4" xfId="0" applyFont="1" applyFill="1" applyBorder="1" applyAlignment="1">
      <alignment horizontal="center" vertical="top"/>
    </xf>
    <xf numFmtId="0" fontId="2" fillId="11" borderId="5" xfId="0" applyFont="1" applyFill="1" applyBorder="1" applyAlignment="1">
      <alignment horizontal="center" vertical="top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</cellXfs>
  <cellStyles count="1">
    <cellStyle name="Normale" xfId="0" builtinId="0"/>
  </cellStyles>
  <dxfs count="89"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423CFF4-9977-426D-8642-F003DBBACCED}" name="Tabella2" displayName="Tabella2" ref="A1:CI51" totalsRowShown="0" headerRowDxfId="3" dataDxfId="2">
  <autoFilter ref="A1:CI51" xr:uid="{F423CFF4-9977-426D-8642-F003DBBACCED}"/>
  <sortState xmlns:xlrd2="http://schemas.microsoft.com/office/spreadsheetml/2017/richdata2" ref="A2:CI51">
    <sortCondition descending="1" ref="B1:B51"/>
  </sortState>
  <tableColumns count="87">
    <tableColumn id="1" xr3:uid="{0EF2E770-1752-4641-85BA-AF768F96EB2C}" name="NAME" dataDxfId="88"/>
    <tableColumn id="2" xr3:uid="{7700FB12-63EA-4ABA-AB95-731E7ECAAC7D}" name="ATK SKIP" dataDxfId="87"/>
    <tableColumn id="3" xr3:uid="{D973E7BC-5474-455A-8D23-F3E7679E3DAE}" name="ZERO WAR  ATK" dataDxfId="86"/>
    <tableColumn id="4" xr3:uid="{332DFDF5-E2C0-4E6A-9D28-6CA5CF7E8D3E}" name="TOT WARS" dataDxfId="85"/>
    <tableColumn id="5" xr3:uid="{3922FF77-05B3-4852-BC79-4460D5A13091}" name="TOT STARS" dataDxfId="1">
      <calculatedColumnFormula>SUM(G2:M2)</calculatedColumnFormula>
    </tableColumn>
    <tableColumn id="6" xr3:uid="{0F6B5768-3F32-468D-B833-303BD4179BD2}" name="AVG STAR" dataDxfId="0">
      <calculatedColumnFormula>AVERAGE(G2:M2)</calculatedColumnFormula>
    </tableColumn>
    <tableColumn id="7" xr3:uid="{376A0512-F474-4CFF-8C69-D521A2E8282B}" name="WAR-1 (1)" dataDxfId="84"/>
    <tableColumn id="8" xr3:uid="{E37E47C7-4EDE-43BC-8ED9-2D2AE2F9E63B}" name="WAR-1 (2)" dataDxfId="83"/>
    <tableColumn id="9" xr3:uid="{6DBCEF93-512C-45A9-B082-1851EC958F4B}" name="WAR-2 (1)" dataDxfId="82"/>
    <tableColumn id="10" xr3:uid="{91DE97F5-8BA7-4331-8862-54D3FBDB73EA}" name="WAR-2 (2)" dataDxfId="81"/>
    <tableColumn id="11" xr3:uid="{EC532579-06C4-4FF2-82FC-307D86BB24BD}" name="Colonna11" dataDxfId="80"/>
    <tableColumn id="12" xr3:uid="{5BD5FC70-A326-4310-BEE3-FA83ACEF5E0E}" name="Colonna12" dataDxfId="79"/>
    <tableColumn id="13" xr3:uid="{290FE366-F9C2-47A9-8560-3E43AC71D7BD}" name="Colonna13" dataDxfId="78"/>
    <tableColumn id="14" xr3:uid="{3761D2F3-C126-4E7A-9184-8769ACAD7414}" name="Colonna14" dataDxfId="77"/>
    <tableColumn id="15" xr3:uid="{1DE69A51-8060-4FE2-9A7F-B25F0B656AFC}" name="Colonna15" dataDxfId="76"/>
    <tableColumn id="16" xr3:uid="{C8D3533A-AF90-4393-AD46-CDE8FB2E9E71}" name="Colonna16" dataDxfId="75"/>
    <tableColumn id="17" xr3:uid="{A352C3C5-F8A8-4B54-BCB4-C5B00F5DA941}" name="Colonna17" dataDxfId="74"/>
    <tableColumn id="18" xr3:uid="{FC8D5AC5-A191-4BDE-8BED-4858577379BC}" name="Colonna18" dataDxfId="73"/>
    <tableColumn id="19" xr3:uid="{108D4001-D141-4CD5-9507-C1358BFC8B5A}" name="Colonna19" dataDxfId="72"/>
    <tableColumn id="20" xr3:uid="{A80AF7DF-5078-4F70-9C8A-F1DBDB344EE2}" name="Colonna20" dataDxfId="71"/>
    <tableColumn id="21" xr3:uid="{6DFF097C-5E78-42C7-802F-25FD85BF34EB}" name="Colonna21" dataDxfId="70"/>
    <tableColumn id="22" xr3:uid="{360AFEF1-7881-473A-A5FB-6703D940E7BF}" name="Colonna22" dataDxfId="69"/>
    <tableColumn id="23" xr3:uid="{FC402F78-186F-40BE-87B9-A4A8DFF11E14}" name="Colonna23" dataDxfId="68"/>
    <tableColumn id="24" xr3:uid="{87677C85-73FC-4035-A4D8-122A91554F53}" name="Colonna24" dataDxfId="67"/>
    <tableColumn id="25" xr3:uid="{B3DB419E-5602-416B-B7F9-E376441BEB88}" name="Colonna25" dataDxfId="66"/>
    <tableColumn id="26" xr3:uid="{7995E8D9-B284-4793-A16C-E6F5A85B87F7}" name="Colonna26" dataDxfId="65"/>
    <tableColumn id="27" xr3:uid="{C8EFA8C1-99BB-4F34-8AD3-8537A15CEA13}" name="Colonna27" dataDxfId="64"/>
    <tableColumn id="28" xr3:uid="{F9CF1DF5-D3FC-4CD2-9BE5-4610806C9BBB}" name="Colonna28" dataDxfId="63"/>
    <tableColumn id="29" xr3:uid="{6F0EFA45-DD34-4A6A-A928-263B3F3B42E4}" name="Colonna29" dataDxfId="62"/>
    <tableColumn id="30" xr3:uid="{CB559727-A40B-4944-9D52-7649F5FAF1EA}" name="Colonna30" dataDxfId="61"/>
    <tableColumn id="31" xr3:uid="{701EA7E0-95E0-47FC-8D0E-4F262430A37D}" name="Colonna31" dataDxfId="60"/>
    <tableColumn id="32" xr3:uid="{A933180B-2642-4730-B753-229145E1EF41}" name="Colonna32" dataDxfId="59"/>
    <tableColumn id="33" xr3:uid="{3573333E-9754-4F23-8CDC-D1306F9BF268}" name="Colonna33" dataDxfId="58"/>
    <tableColumn id="34" xr3:uid="{EC47DFDD-5E7A-4620-B3BB-AFB992D52395}" name="Colonna34" dataDxfId="57"/>
    <tableColumn id="35" xr3:uid="{AA21E8AB-AB7F-42D5-96D3-B74237A2014C}" name="Colonna35" dataDxfId="56"/>
    <tableColumn id="36" xr3:uid="{C9FB4DCF-BF28-4AE1-A7CF-8ABB51DB12CE}" name="Colonna36" dataDxfId="55"/>
    <tableColumn id="37" xr3:uid="{E034E0DF-52D6-4B2B-8593-89C7BD38C5D2}" name="Colonna37" dataDxfId="54"/>
    <tableColumn id="38" xr3:uid="{693B6181-DA2C-4B2F-9889-532878D25528}" name="Colonna38" dataDxfId="53"/>
    <tableColumn id="39" xr3:uid="{3502DF4E-4ED6-41A7-969E-88CCC7B187AF}" name="Colonna39" dataDxfId="52"/>
    <tableColumn id="40" xr3:uid="{F2354E38-61A3-4D8B-AD7A-925179F7CB6D}" name="Colonna40" dataDxfId="51"/>
    <tableColumn id="41" xr3:uid="{89374DDF-FC75-4E39-8FA9-B58FCCDE25EE}" name="Colonna41" dataDxfId="50"/>
    <tableColumn id="42" xr3:uid="{F270E42D-CD1C-4E23-AC89-B8C21EC3F3E0}" name="Colonna42" dataDxfId="49"/>
    <tableColumn id="43" xr3:uid="{F957FB97-E69A-4AF2-B828-BC36EFBAF1C7}" name="Colonna43" dataDxfId="48"/>
    <tableColumn id="44" xr3:uid="{8AA72C31-4181-4378-8207-491062F0E3EC}" name="Colonna44" dataDxfId="47"/>
    <tableColumn id="45" xr3:uid="{69E342D7-7C24-4442-A6D5-BE116FD22054}" name="Colonna45" dataDxfId="46"/>
    <tableColumn id="46" xr3:uid="{6B2864A9-B388-4422-9440-AD11780FCDD6}" name="Colonna46" dataDxfId="45"/>
    <tableColumn id="47" xr3:uid="{19B5D526-813F-4596-A72A-AB90941FB1D7}" name="Colonna47" dataDxfId="44"/>
    <tableColumn id="48" xr3:uid="{DBF1BD23-6353-412A-8662-485BEBB03F86}" name="Colonna48" dataDxfId="43"/>
    <tableColumn id="49" xr3:uid="{27E8288F-06CF-49EB-B94E-3FEBCA7B0510}" name="Colonna49" dataDxfId="42"/>
    <tableColumn id="50" xr3:uid="{06E74F8A-60BC-49D6-B40F-E720C8B2041D}" name="Colonna50" dataDxfId="41"/>
    <tableColumn id="51" xr3:uid="{73FA2BF0-26B2-4E2F-AEA3-E3B5405F15BE}" name="Colonna51" dataDxfId="40"/>
    <tableColumn id="52" xr3:uid="{4EB236AA-EF57-461D-B29F-9035D272A5EA}" name="Colonna52" dataDxfId="39"/>
    <tableColumn id="53" xr3:uid="{7899778E-7F35-4B84-B1F7-1E247FA55D25}" name="Colonna53" dataDxfId="38"/>
    <tableColumn id="54" xr3:uid="{E9D49300-A3C5-47CE-9A98-A85CC8C75A45}" name="Colonna54" dataDxfId="37"/>
    <tableColumn id="55" xr3:uid="{0613756B-161C-409C-9A6A-25B7A080F421}" name="Colonna55" dataDxfId="36"/>
    <tableColumn id="56" xr3:uid="{99C2FE99-EDAE-4F01-9ED2-95512B4574FB}" name="Colonna56" dataDxfId="35"/>
    <tableColumn id="57" xr3:uid="{638F506F-0426-4DFD-A87B-A28ED31AA260}" name="Colonna57" dataDxfId="34"/>
    <tableColumn id="58" xr3:uid="{C8F66985-EBBC-4FCF-8032-822832F3D172}" name="Colonna58" dataDxfId="33"/>
    <tableColumn id="59" xr3:uid="{4562A6FD-B85F-48C6-8B32-BA77AD4A14D8}" name="Colonna59" dataDxfId="32"/>
    <tableColumn id="60" xr3:uid="{D92EC79F-EAE1-4A25-804B-68F6930EEFE5}" name="Colonna60" dataDxfId="31"/>
    <tableColumn id="61" xr3:uid="{791651E5-73FF-4074-962D-F43959D5F41A}" name="Colonna61" dataDxfId="30"/>
    <tableColumn id="62" xr3:uid="{1BFBA69A-C5FC-4265-8BA7-EDB124FA5A0A}" name="Colonna62" dataDxfId="29"/>
    <tableColumn id="63" xr3:uid="{8669ADEA-97BF-4D3C-920C-9D9F7C8FE5C2}" name="Colonna63" dataDxfId="28"/>
    <tableColumn id="64" xr3:uid="{1BF95B64-FD6F-48E0-AC27-27D6221F83B4}" name="Colonna64" dataDxfId="27"/>
    <tableColumn id="65" xr3:uid="{E0264749-1CCC-4AFF-B977-38799E20CA23}" name="Colonna65" dataDxfId="26"/>
    <tableColumn id="66" xr3:uid="{0ED1D8E5-7EB4-4E03-BFFF-0B72D797EC14}" name="Colonna66" dataDxfId="25"/>
    <tableColumn id="67" xr3:uid="{0F841082-A00A-434F-B65F-3136819F147C}" name="Colonna67" dataDxfId="24"/>
    <tableColumn id="68" xr3:uid="{D7928FB1-1585-494F-9111-6040D63F5A29}" name="Colonna68" dataDxfId="23"/>
    <tableColumn id="69" xr3:uid="{5CDA26B7-B4C7-4DE8-B8E2-661989279FF5}" name="Colonna69" dataDxfId="22"/>
    <tableColumn id="70" xr3:uid="{C4F959F7-EEA6-4053-8D43-8E6B1205DAEE}" name="Colonna70" dataDxfId="21"/>
    <tableColumn id="71" xr3:uid="{E57CD1EB-9AF1-433E-830E-0F73F9059F3A}" name="Colonna71" dataDxfId="20"/>
    <tableColumn id="72" xr3:uid="{81E2AC05-08A6-483C-914B-2E9E13AC4D01}" name="Colonna72" dataDxfId="19"/>
    <tableColumn id="73" xr3:uid="{B1C1244D-DCE4-46D9-AE7F-34A915048A93}" name="Colonna73" dataDxfId="18"/>
    <tableColumn id="74" xr3:uid="{CBAAB737-C8D4-4339-AF0E-0EC58F323145}" name="Colonna74" dataDxfId="17"/>
    <tableColumn id="75" xr3:uid="{C70D1860-9EE7-4E1C-90F4-E810D54107A8}" name="Colonna75" dataDxfId="16"/>
    <tableColumn id="76" xr3:uid="{0B6A33C3-907A-4774-93B5-0C9E4884751B}" name="Colonna76" dataDxfId="15"/>
    <tableColumn id="77" xr3:uid="{857AE10B-66C6-471D-941F-F1117F0AC515}" name="Colonna77" dataDxfId="14"/>
    <tableColumn id="78" xr3:uid="{32C0A9AF-5789-4DD8-A354-A95C845455C4}" name="Colonna78" dataDxfId="13"/>
    <tableColumn id="79" xr3:uid="{BAEF2E76-0B19-42F6-A6FD-2A37EF87A7F1}" name="Colonna79" dataDxfId="12"/>
    <tableColumn id="80" xr3:uid="{B512BE24-AF4D-413E-905E-42EC63649C9B}" name="Colonna80" dataDxfId="11"/>
    <tableColumn id="81" xr3:uid="{B4798D7F-B4F4-4EF5-8AF2-C227BF6BEAFB}" name="Colonna81" dataDxfId="10"/>
    <tableColumn id="82" xr3:uid="{8EF937F7-D8CE-4C15-B756-8A5185D15582}" name="Colonna82" dataDxfId="9"/>
    <tableColumn id="83" xr3:uid="{0EDC6303-87C8-4535-B252-CDEC7B0A6A3D}" name="Colonna83" dataDxfId="8"/>
    <tableColumn id="84" xr3:uid="{AEBF63B5-CCB3-489D-8B08-5DAE5C9889F6}" name="Colonna84" dataDxfId="7"/>
    <tableColumn id="85" xr3:uid="{D4C6970E-B9D7-46F8-8725-98E40168F42C}" name="Colonna85" dataDxfId="6"/>
    <tableColumn id="86" xr3:uid="{E552D410-AE16-4D07-8EC7-90BF77D8C599}" name="Colonna86" dataDxfId="5"/>
    <tableColumn id="87" xr3:uid="{625DFEFC-1B10-427B-AD94-94B948B67603}" name="Colonna87" dataDxfId="4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67D6F-05AA-42C5-8EB4-3439484454C4}">
  <dimension ref="A1:AI47"/>
  <sheetViews>
    <sheetView workbookViewId="0">
      <selection activeCell="E30" sqref="E30"/>
    </sheetView>
  </sheetViews>
  <sheetFormatPr defaultColWidth="9.140625" defaultRowHeight="15" x14ac:dyDescent="0.25"/>
  <cols>
    <col min="1" max="1" width="9.140625" style="4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16384" width="9.140625" style="4"/>
  </cols>
  <sheetData>
    <row r="1" spans="1:35" s="2" customFormat="1" ht="15.75" thickBot="1" x14ac:dyDescent="0.3">
      <c r="B1" s="10" t="s">
        <v>0</v>
      </c>
      <c r="C1" s="1" t="s">
        <v>33</v>
      </c>
      <c r="D1" s="2" t="s">
        <v>32</v>
      </c>
      <c r="E1" s="3" t="s">
        <v>31</v>
      </c>
      <c r="F1" s="1" t="s">
        <v>33</v>
      </c>
      <c r="G1" s="2" t="s">
        <v>32</v>
      </c>
      <c r="H1" s="3" t="s">
        <v>31</v>
      </c>
      <c r="I1" s="1" t="s">
        <v>33</v>
      </c>
      <c r="J1" s="2" t="s">
        <v>32</v>
      </c>
      <c r="K1" s="3" t="s">
        <v>31</v>
      </c>
      <c r="L1" s="1" t="s">
        <v>33</v>
      </c>
      <c r="M1" s="2" t="s">
        <v>32</v>
      </c>
      <c r="N1" s="3" t="s">
        <v>31</v>
      </c>
      <c r="O1" s="1" t="s">
        <v>33</v>
      </c>
      <c r="P1" s="2" t="s">
        <v>32</v>
      </c>
      <c r="Q1" s="3" t="s">
        <v>31</v>
      </c>
      <c r="R1" s="1" t="s">
        <v>33</v>
      </c>
      <c r="S1" s="2" t="s">
        <v>32</v>
      </c>
      <c r="T1" s="3" t="s">
        <v>31</v>
      </c>
      <c r="U1" s="1" t="s">
        <v>33</v>
      </c>
      <c r="V1" s="2" t="s">
        <v>32</v>
      </c>
      <c r="W1" s="3" t="s">
        <v>31</v>
      </c>
      <c r="X1" s="1" t="s">
        <v>33</v>
      </c>
      <c r="Y1" s="2" t="s">
        <v>32</v>
      </c>
      <c r="Z1" s="3" t="s">
        <v>31</v>
      </c>
      <c r="AA1" s="1" t="s">
        <v>33</v>
      </c>
      <c r="AB1" s="2" t="s">
        <v>32</v>
      </c>
      <c r="AC1" s="3" t="s">
        <v>31</v>
      </c>
      <c r="AD1" s="23"/>
      <c r="AE1" s="23"/>
      <c r="AF1" s="23"/>
      <c r="AG1" s="23"/>
      <c r="AH1" s="23"/>
      <c r="AI1" s="23"/>
    </row>
    <row r="2" spans="1:35" ht="15.75" thickBot="1" x14ac:dyDescent="0.3">
      <c r="A2" s="4">
        <v>16</v>
      </c>
      <c r="B2" s="27" t="s">
        <v>1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thickBot="1" x14ac:dyDescent="0.3">
      <c r="A3" s="4">
        <v>15</v>
      </c>
      <c r="B3" s="27" t="s">
        <v>2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thickBot="1" x14ac:dyDescent="0.3">
      <c r="A4" s="4">
        <v>15</v>
      </c>
      <c r="B4" s="33" t="s">
        <v>3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thickBot="1" x14ac:dyDescent="0.3">
      <c r="A5" s="4">
        <v>13</v>
      </c>
      <c r="B5" s="11" t="s">
        <v>4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thickBot="1" x14ac:dyDescent="0.3">
      <c r="A6" s="4">
        <v>12</v>
      </c>
      <c r="B6" s="25" t="s">
        <v>5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thickBot="1" x14ac:dyDescent="0.3">
      <c r="A7" s="15" t="s">
        <v>34</v>
      </c>
      <c r="B7" s="33" t="s">
        <v>6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thickBot="1" x14ac:dyDescent="0.3">
      <c r="A8" s="4">
        <v>12</v>
      </c>
      <c r="B8" s="33" t="s">
        <v>7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thickBot="1" x14ac:dyDescent="0.3">
      <c r="A9" s="4">
        <v>12</v>
      </c>
      <c r="B9" s="11" t="s">
        <v>8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thickBot="1" x14ac:dyDescent="0.3">
      <c r="A10" s="4">
        <v>12</v>
      </c>
      <c r="B10" s="26" t="s">
        <v>9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thickBot="1" x14ac:dyDescent="0.3">
      <c r="A11" s="4">
        <v>12</v>
      </c>
      <c r="B11" s="11" t="s">
        <v>10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thickBot="1" x14ac:dyDescent="0.3">
      <c r="A12" s="4" t="s">
        <v>35</v>
      </c>
      <c r="B12" s="11" t="s">
        <v>11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thickBot="1" x14ac:dyDescent="0.3">
      <c r="A13" s="4">
        <v>12</v>
      </c>
      <c r="B13" s="25" t="s">
        <v>12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thickBot="1" x14ac:dyDescent="0.3">
      <c r="A14" s="4">
        <v>11</v>
      </c>
      <c r="B14" s="11" t="s">
        <v>13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thickBot="1" x14ac:dyDescent="0.3">
      <c r="A15" s="4">
        <v>12</v>
      </c>
      <c r="B15" s="26" t="s">
        <v>14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thickBot="1" x14ac:dyDescent="0.3">
      <c r="A16" s="4">
        <v>11</v>
      </c>
      <c r="B16" s="11" t="s">
        <v>15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thickBot="1" x14ac:dyDescent="0.3">
      <c r="A17" s="4">
        <v>11</v>
      </c>
      <c r="B17" s="26" t="s">
        <v>16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thickBot="1" x14ac:dyDescent="0.3">
      <c r="A18" s="4">
        <v>11</v>
      </c>
      <c r="B18" s="11" t="s">
        <v>17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thickBot="1" x14ac:dyDescent="0.3">
      <c r="A19" s="4">
        <v>11</v>
      </c>
      <c r="B19" s="11" t="s">
        <v>18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thickBot="1" x14ac:dyDescent="0.3">
      <c r="A20" s="4">
        <v>11</v>
      </c>
      <c r="B20" s="27" t="s">
        <v>19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thickBot="1" x14ac:dyDescent="0.3">
      <c r="A21" s="4">
        <v>11</v>
      </c>
      <c r="B21" s="27" t="s">
        <v>20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thickBot="1" x14ac:dyDescent="0.3">
      <c r="A22" s="4">
        <v>11</v>
      </c>
      <c r="B22" s="11" t="s">
        <v>21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thickBot="1" x14ac:dyDescent="0.3">
      <c r="A23" s="4">
        <v>11</v>
      </c>
      <c r="B23" s="33" t="s">
        <v>22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thickBot="1" x14ac:dyDescent="0.3">
      <c r="A24" s="4">
        <v>11</v>
      </c>
      <c r="B24" s="11" t="s">
        <v>23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thickBot="1" x14ac:dyDescent="0.3">
      <c r="A25" s="4">
        <v>11</v>
      </c>
      <c r="B25" s="25" t="s">
        <v>24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thickBot="1" x14ac:dyDescent="0.3">
      <c r="A26" s="4">
        <v>11</v>
      </c>
      <c r="B26" s="26" t="s">
        <v>25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thickBot="1" x14ac:dyDescent="0.3">
      <c r="A27" s="4">
        <v>11</v>
      </c>
      <c r="B27" s="11" t="s">
        <v>26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thickBot="1" x14ac:dyDescent="0.3">
      <c r="A28" s="4">
        <v>11</v>
      </c>
      <c r="B28" s="25" t="s">
        <v>27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thickBot="1" x14ac:dyDescent="0.3">
      <c r="A29" s="4">
        <v>11</v>
      </c>
      <c r="B29" s="33" t="s">
        <v>28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thickBot="1" x14ac:dyDescent="0.3">
      <c r="A30" s="4">
        <v>11</v>
      </c>
      <c r="B30" s="11" t="s">
        <v>29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thickBot="1" x14ac:dyDescent="0.3">
      <c r="A31" s="4" t="s">
        <v>36</v>
      </c>
      <c r="B31" s="11" t="s">
        <v>30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thickBot="1" x14ac:dyDescent="0.3">
      <c r="A34" s="29"/>
      <c r="B34" s="28" t="s">
        <v>37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thickBot="1" x14ac:dyDescent="0.3">
      <c r="A35" s="30"/>
      <c r="B35" s="28" t="s">
        <v>38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thickBot="1" x14ac:dyDescent="0.3">
      <c r="A36" s="18"/>
      <c r="B36" s="28" t="s">
        <v>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thickBot="1" x14ac:dyDescent="0.3">
      <c r="A37" s="31"/>
      <c r="B37" s="28" t="s">
        <v>40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  <ignoredErrors>
    <ignoredError sqref="A7" twoDigitTextYea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D0103-8B83-425B-8825-6ADA101A7570}">
  <dimension ref="A1:AC43"/>
  <sheetViews>
    <sheetView topLeftCell="B1" workbookViewId="0">
      <selection activeCell="Y21" sqref="Y21"/>
    </sheetView>
  </sheetViews>
  <sheetFormatPr defaultColWidth="9.140625" defaultRowHeight="15" outlineLevelRow="1" outlineLevelCol="1" x14ac:dyDescent="0.25"/>
  <cols>
    <col min="1" max="1" width="9.140625" style="39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16384" width="9.140625" style="39"/>
  </cols>
  <sheetData>
    <row r="1" spans="1:23" ht="15.75" thickBot="1" x14ac:dyDescent="0.3">
      <c r="B1" s="61"/>
      <c r="C1" s="80">
        <v>1</v>
      </c>
      <c r="D1" s="81"/>
      <c r="E1" s="82"/>
      <c r="F1" s="80">
        <v>2</v>
      </c>
      <c r="G1" s="81"/>
      <c r="H1" s="82"/>
      <c r="I1" s="80">
        <v>3</v>
      </c>
      <c r="J1" s="81"/>
      <c r="K1" s="82"/>
      <c r="L1" s="80">
        <v>4</v>
      </c>
      <c r="M1" s="81"/>
      <c r="N1" s="82"/>
      <c r="O1" s="80">
        <v>5</v>
      </c>
      <c r="P1" s="81"/>
      <c r="Q1" s="82"/>
      <c r="R1" s="80">
        <v>6</v>
      </c>
      <c r="S1" s="81"/>
      <c r="T1" s="82"/>
      <c r="U1" s="80">
        <v>7</v>
      </c>
      <c r="V1" s="81"/>
      <c r="W1" s="82"/>
    </row>
    <row r="2" spans="1:23" ht="15.75" thickBot="1" x14ac:dyDescent="0.3">
      <c r="A2" s="36"/>
      <c r="B2" s="37" t="s">
        <v>0</v>
      </c>
      <c r="C2" s="37" t="s">
        <v>33</v>
      </c>
      <c r="D2" s="36" t="s">
        <v>32</v>
      </c>
      <c r="E2" s="38" t="s">
        <v>31</v>
      </c>
      <c r="F2" s="37" t="s">
        <v>33</v>
      </c>
      <c r="G2" s="36" t="s">
        <v>32</v>
      </c>
      <c r="H2" s="38" t="s">
        <v>31</v>
      </c>
      <c r="I2" s="37" t="s">
        <v>33</v>
      </c>
      <c r="J2" s="36" t="s">
        <v>32</v>
      </c>
      <c r="K2" s="38" t="s">
        <v>31</v>
      </c>
      <c r="L2" s="37" t="s">
        <v>33</v>
      </c>
      <c r="M2" s="36" t="s">
        <v>32</v>
      </c>
      <c r="N2" s="38" t="s">
        <v>31</v>
      </c>
      <c r="O2" s="37" t="s">
        <v>33</v>
      </c>
      <c r="P2" s="36" t="s">
        <v>32</v>
      </c>
      <c r="Q2" s="38" t="s">
        <v>31</v>
      </c>
      <c r="R2" s="37" t="s">
        <v>33</v>
      </c>
      <c r="S2" s="36" t="s">
        <v>32</v>
      </c>
      <c r="T2" s="36" t="s">
        <v>31</v>
      </c>
      <c r="U2" s="37" t="s">
        <v>33</v>
      </c>
      <c r="V2" s="36" t="s">
        <v>32</v>
      </c>
      <c r="W2" s="38" t="s">
        <v>31</v>
      </c>
    </row>
    <row r="3" spans="1:23" x14ac:dyDescent="0.25">
      <c r="A3" s="39">
        <v>16</v>
      </c>
      <c r="B3" s="39" t="s">
        <v>1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55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3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44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6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4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5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8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7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13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10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12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9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15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11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48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14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22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67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17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41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18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47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19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42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27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45</v>
      </c>
      <c r="C29" s="40" t="s">
        <v>66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23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30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thickBot="1" x14ac:dyDescent="0.3">
      <c r="A32" s="39">
        <v>12</v>
      </c>
      <c r="B32" s="55" t="s">
        <v>49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50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46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outlineLevel="1" thickBot="1" x14ac:dyDescent="0.3">
      <c r="A36" s="39">
        <v>12</v>
      </c>
      <c r="B36" s="55" t="s">
        <v>51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thickBot="1" x14ac:dyDescent="0.3">
      <c r="A38" s="44"/>
      <c r="B38" s="45" t="s">
        <v>37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thickBot="1" x14ac:dyDescent="0.3">
      <c r="A39" s="46"/>
      <c r="B39" s="45" t="s">
        <v>38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thickBot="1" x14ac:dyDescent="0.3">
      <c r="A40" s="47"/>
      <c r="B40" s="45" t="s">
        <v>39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thickBot="1" x14ac:dyDescent="0.3">
      <c r="A41" s="48"/>
      <c r="B41" s="45" t="s">
        <v>68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thickBot="1" x14ac:dyDescent="0.3">
      <c r="A42" s="49"/>
      <c r="B42" s="45" t="s">
        <v>65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thickBot="1" x14ac:dyDescent="0.3">
      <c r="A43" s="71"/>
      <c r="B43" s="45" t="s">
        <v>69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sortState xmlns:xlrd2="http://schemas.microsoft.com/office/spreadsheetml/2017/richdata2" ref="A3:B30">
    <sortCondition descending="1" ref="A3:A30"/>
  </sortState>
  <mergeCells count="7">
    <mergeCell ref="R1:T1"/>
    <mergeCell ref="U1:W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1E3B6-9616-466B-B38C-BD48994D8318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thickBot="1" x14ac:dyDescent="0.3">
      <c r="A32" s="83" t="s">
        <v>70</v>
      </c>
      <c r="B32" s="84"/>
      <c r="C32" s="84"/>
      <c r="D32" s="84"/>
      <c r="E32" s="84"/>
      <c r="F32" s="84"/>
      <c r="G32" s="84"/>
      <c r="H32" s="85"/>
    </row>
  </sheetData>
  <mergeCells count="1">
    <mergeCell ref="A32:H3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F01F9-5167-499B-96C3-486CFF0E784F}">
  <dimension ref="A1:J29"/>
  <sheetViews>
    <sheetView workbookViewId="0">
      <selection activeCell="A30" sqref="A30:XFD30"/>
    </sheetView>
  </sheetViews>
  <sheetFormatPr defaultRowHeight="15" x14ac:dyDescent="0.25"/>
  <sheetData>
    <row r="1" spans="1:10" x14ac:dyDescent="0.25">
      <c r="A1">
        <v>16</v>
      </c>
      <c r="B1" t="s">
        <v>1</v>
      </c>
    </row>
    <row r="2" spans="1:10" x14ac:dyDescent="0.25">
      <c r="A2">
        <v>15</v>
      </c>
      <c r="B2" t="s">
        <v>55</v>
      </c>
    </row>
    <row r="3" spans="1:10" x14ac:dyDescent="0.25">
      <c r="A3">
        <v>15</v>
      </c>
      <c r="B3" t="s">
        <v>3</v>
      </c>
      <c r="I3">
        <v>13</v>
      </c>
      <c r="J3" t="s">
        <v>5</v>
      </c>
    </row>
    <row r="4" spans="1:10" x14ac:dyDescent="0.25">
      <c r="A4">
        <v>13</v>
      </c>
      <c r="B4" t="s">
        <v>6</v>
      </c>
      <c r="E4" t="s">
        <v>52</v>
      </c>
      <c r="I4">
        <v>13</v>
      </c>
      <c r="J4" t="s">
        <v>56</v>
      </c>
    </row>
    <row r="5" spans="1:10" x14ac:dyDescent="0.25">
      <c r="A5">
        <v>13</v>
      </c>
      <c r="B5" t="s">
        <v>8</v>
      </c>
      <c r="E5" t="s">
        <v>53</v>
      </c>
      <c r="I5">
        <v>13</v>
      </c>
      <c r="J5" t="s">
        <v>57</v>
      </c>
    </row>
    <row r="6" spans="1:10" x14ac:dyDescent="0.25">
      <c r="A6">
        <v>13</v>
      </c>
      <c r="B6" t="s">
        <v>44</v>
      </c>
      <c r="E6" t="s">
        <v>54</v>
      </c>
      <c r="I6">
        <v>12</v>
      </c>
      <c r="J6" t="s">
        <v>58</v>
      </c>
    </row>
    <row r="7" spans="1:10" x14ac:dyDescent="0.25">
      <c r="A7">
        <v>13</v>
      </c>
      <c r="B7" t="s">
        <v>4</v>
      </c>
      <c r="I7">
        <v>12</v>
      </c>
      <c r="J7" t="s">
        <v>59</v>
      </c>
    </row>
    <row r="8" spans="1:10" x14ac:dyDescent="0.25">
      <c r="A8">
        <v>13</v>
      </c>
      <c r="B8" t="s">
        <v>13</v>
      </c>
    </row>
    <row r="9" spans="1:10" x14ac:dyDescent="0.25">
      <c r="A9">
        <v>13</v>
      </c>
      <c r="B9" t="s">
        <v>46</v>
      </c>
      <c r="I9">
        <v>12</v>
      </c>
      <c r="J9" t="s">
        <v>60</v>
      </c>
    </row>
    <row r="10" spans="1:10" x14ac:dyDescent="0.25">
      <c r="A10">
        <v>13</v>
      </c>
      <c r="B10" t="s">
        <v>7</v>
      </c>
    </row>
    <row r="11" spans="1:10" x14ac:dyDescent="0.25">
      <c r="A11">
        <v>13</v>
      </c>
      <c r="B11" t="s">
        <v>15</v>
      </c>
      <c r="I11">
        <v>12</v>
      </c>
      <c r="J11" t="s">
        <v>18</v>
      </c>
    </row>
    <row r="12" spans="1:10" x14ac:dyDescent="0.25">
      <c r="A12">
        <v>12</v>
      </c>
      <c r="B12" t="s">
        <v>41</v>
      </c>
      <c r="I12">
        <v>12</v>
      </c>
      <c r="J12" t="s">
        <v>61</v>
      </c>
    </row>
    <row r="13" spans="1:10" x14ac:dyDescent="0.25">
      <c r="A13">
        <v>12</v>
      </c>
      <c r="B13" t="s">
        <v>42</v>
      </c>
      <c r="I13">
        <v>12</v>
      </c>
      <c r="J13" t="s">
        <v>62</v>
      </c>
    </row>
    <row r="14" spans="1:10" x14ac:dyDescent="0.25">
      <c r="A14">
        <v>12</v>
      </c>
      <c r="B14" t="s">
        <v>22</v>
      </c>
      <c r="I14">
        <v>12</v>
      </c>
      <c r="J14" t="s">
        <v>14</v>
      </c>
    </row>
    <row r="15" spans="1:10" x14ac:dyDescent="0.25">
      <c r="A15">
        <v>12</v>
      </c>
      <c r="B15" t="s">
        <v>43</v>
      </c>
      <c r="I15">
        <v>12</v>
      </c>
      <c r="J15" t="s">
        <v>63</v>
      </c>
    </row>
    <row r="16" spans="1:10" x14ac:dyDescent="0.25">
      <c r="A16">
        <v>12</v>
      </c>
      <c r="B16" t="s">
        <v>10</v>
      </c>
    </row>
    <row r="17" spans="1:10" x14ac:dyDescent="0.25">
      <c r="A17">
        <v>12</v>
      </c>
      <c r="B17" t="s">
        <v>9</v>
      </c>
      <c r="I17">
        <v>12</v>
      </c>
      <c r="J17" t="s">
        <v>64</v>
      </c>
    </row>
    <row r="18" spans="1:10" x14ac:dyDescent="0.25">
      <c r="A18">
        <v>12</v>
      </c>
      <c r="B18" t="s">
        <v>47</v>
      </c>
      <c r="I18">
        <v>11</v>
      </c>
      <c r="J18" t="s">
        <v>24</v>
      </c>
    </row>
    <row r="19" spans="1:10" x14ac:dyDescent="0.25">
      <c r="A19">
        <v>12</v>
      </c>
      <c r="B19" t="s">
        <v>12</v>
      </c>
      <c r="I19">
        <v>11</v>
      </c>
      <c r="J19" t="s">
        <v>29</v>
      </c>
    </row>
    <row r="20" spans="1:10" x14ac:dyDescent="0.25">
      <c r="A20">
        <v>12</v>
      </c>
      <c r="B20" t="s">
        <v>48</v>
      </c>
    </row>
    <row r="21" spans="1:10" x14ac:dyDescent="0.25">
      <c r="A21">
        <v>12</v>
      </c>
      <c r="B21" t="s">
        <v>49</v>
      </c>
    </row>
    <row r="22" spans="1:10" x14ac:dyDescent="0.25">
      <c r="A22">
        <v>12</v>
      </c>
      <c r="B22" t="s">
        <v>51</v>
      </c>
    </row>
    <row r="23" spans="1:10" x14ac:dyDescent="0.25">
      <c r="A23">
        <v>12</v>
      </c>
      <c r="B23" t="s">
        <v>45</v>
      </c>
    </row>
    <row r="24" spans="1:10" x14ac:dyDescent="0.25">
      <c r="A24">
        <v>12</v>
      </c>
      <c r="B24" t="s">
        <v>30</v>
      </c>
    </row>
    <row r="25" spans="1:10" x14ac:dyDescent="0.25">
      <c r="A25">
        <v>12</v>
      </c>
      <c r="B25" t="s">
        <v>27</v>
      </c>
    </row>
    <row r="26" spans="1:10" x14ac:dyDescent="0.25">
      <c r="A26">
        <v>12</v>
      </c>
      <c r="B26" t="s">
        <v>23</v>
      </c>
    </row>
    <row r="27" spans="1:10" x14ac:dyDescent="0.25">
      <c r="A27">
        <v>12</v>
      </c>
      <c r="B27" t="s">
        <v>50</v>
      </c>
    </row>
    <row r="28" spans="1:10" x14ac:dyDescent="0.25">
      <c r="A28">
        <v>12</v>
      </c>
      <c r="B28" t="s">
        <v>11</v>
      </c>
    </row>
    <row r="29" spans="1:10" x14ac:dyDescent="0.25">
      <c r="A29">
        <v>12</v>
      </c>
      <c r="B29" t="s">
        <v>19</v>
      </c>
    </row>
  </sheetData>
  <sortState xmlns:xlrd2="http://schemas.microsoft.com/office/spreadsheetml/2017/richdata2" ref="A1:B30">
    <sortCondition descending="1" ref="A1:A30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EE678-7544-4914-B64E-AF6ACA09986D}">
  <dimension ref="A1:CI51"/>
  <sheetViews>
    <sheetView tabSelected="1" workbookViewId="0">
      <selection activeCell="C1" sqref="C1"/>
    </sheetView>
  </sheetViews>
  <sheetFormatPr defaultRowHeight="15" x14ac:dyDescent="0.25"/>
  <cols>
    <col min="1" max="1" width="16.42578125" style="79" customWidth="1"/>
    <col min="2" max="2" width="11.5703125" style="89" customWidth="1"/>
    <col min="3" max="3" width="15.140625" style="90" customWidth="1"/>
    <col min="4" max="4" width="13.42578125" style="89" customWidth="1"/>
    <col min="5" max="5" width="13.28515625" style="68" customWidth="1"/>
    <col min="6" max="6" width="11.5703125" style="90" customWidth="1"/>
    <col min="7" max="7" width="11.5703125" style="89" customWidth="1"/>
    <col min="8" max="8" width="11.5703125" style="90" customWidth="1"/>
    <col min="9" max="9" width="11.5703125" style="89" customWidth="1"/>
    <col min="10" max="10" width="12.5703125" style="90" customWidth="1"/>
    <col min="11" max="11" width="12.5703125" style="89" customWidth="1"/>
    <col min="12" max="12" width="12.5703125" style="90" customWidth="1"/>
    <col min="13" max="13" width="12.5703125" style="89" customWidth="1"/>
    <col min="14" max="14" width="12.5703125" style="90" customWidth="1"/>
    <col min="15" max="15" width="12.5703125" style="89" customWidth="1"/>
    <col min="16" max="16" width="12.5703125" style="90" customWidth="1"/>
    <col min="17" max="17" width="12.5703125" style="89" customWidth="1"/>
    <col min="18" max="18" width="12.5703125" style="90" customWidth="1"/>
    <col min="19" max="19" width="12.5703125" style="89" customWidth="1"/>
    <col min="20" max="20" width="12.5703125" style="90" customWidth="1"/>
    <col min="21" max="21" width="12.5703125" style="89" customWidth="1"/>
    <col min="22" max="22" width="12.5703125" style="90" customWidth="1"/>
    <col min="23" max="87" width="12.5703125" style="68" customWidth="1"/>
    <col min="88" max="16384" width="9.140625" style="68"/>
  </cols>
  <sheetData>
    <row r="1" spans="1:87" x14ac:dyDescent="0.25">
      <c r="A1" s="78" t="s">
        <v>148</v>
      </c>
      <c r="B1" s="86" t="s">
        <v>149</v>
      </c>
      <c r="C1" s="87" t="s">
        <v>193</v>
      </c>
      <c r="D1" s="86" t="s">
        <v>186</v>
      </c>
      <c r="E1" s="88" t="s">
        <v>187</v>
      </c>
      <c r="F1" s="87" t="s">
        <v>150</v>
      </c>
      <c r="G1" s="86" t="s">
        <v>188</v>
      </c>
      <c r="H1" s="87" t="s">
        <v>189</v>
      </c>
      <c r="I1" s="86" t="s">
        <v>190</v>
      </c>
      <c r="J1" s="87" t="s">
        <v>191</v>
      </c>
      <c r="K1" s="86" t="s">
        <v>71</v>
      </c>
      <c r="L1" s="87" t="s">
        <v>72</v>
      </c>
      <c r="M1" s="86" t="s">
        <v>73</v>
      </c>
      <c r="N1" s="87" t="s">
        <v>74</v>
      </c>
      <c r="O1" s="86" t="s">
        <v>75</v>
      </c>
      <c r="P1" s="87" t="s">
        <v>76</v>
      </c>
      <c r="Q1" s="86" t="s">
        <v>77</v>
      </c>
      <c r="R1" s="87" t="s">
        <v>78</v>
      </c>
      <c r="S1" s="86" t="s">
        <v>79</v>
      </c>
      <c r="T1" s="87" t="s">
        <v>80</v>
      </c>
      <c r="U1" s="86" t="s">
        <v>81</v>
      </c>
      <c r="V1" s="87" t="s">
        <v>82</v>
      </c>
      <c r="W1" s="68" t="s">
        <v>83</v>
      </c>
      <c r="X1" s="68" t="s">
        <v>84</v>
      </c>
      <c r="Y1" s="68" t="s">
        <v>85</v>
      </c>
      <c r="Z1" s="68" t="s">
        <v>86</v>
      </c>
      <c r="AA1" s="68" t="s">
        <v>87</v>
      </c>
      <c r="AB1" s="68" t="s">
        <v>88</v>
      </c>
      <c r="AC1" s="68" t="s">
        <v>89</v>
      </c>
      <c r="AD1" s="68" t="s">
        <v>90</v>
      </c>
      <c r="AE1" s="68" t="s">
        <v>91</v>
      </c>
      <c r="AF1" s="68" t="s">
        <v>92</v>
      </c>
      <c r="AG1" s="68" t="s">
        <v>93</v>
      </c>
      <c r="AH1" s="68" t="s">
        <v>94</v>
      </c>
      <c r="AI1" s="68" t="s">
        <v>95</v>
      </c>
      <c r="AJ1" s="68" t="s">
        <v>96</v>
      </c>
      <c r="AK1" s="68" t="s">
        <v>97</v>
      </c>
      <c r="AL1" s="68" t="s">
        <v>98</v>
      </c>
      <c r="AM1" s="68" t="s">
        <v>99</v>
      </c>
      <c r="AN1" s="68" t="s">
        <v>100</v>
      </c>
      <c r="AO1" s="68" t="s">
        <v>101</v>
      </c>
      <c r="AP1" s="68" t="s">
        <v>102</v>
      </c>
      <c r="AQ1" s="68" t="s">
        <v>103</v>
      </c>
      <c r="AR1" s="68" t="s">
        <v>104</v>
      </c>
      <c r="AS1" s="68" t="s">
        <v>105</v>
      </c>
      <c r="AT1" s="68" t="s">
        <v>106</v>
      </c>
      <c r="AU1" s="68" t="s">
        <v>107</v>
      </c>
      <c r="AV1" s="68" t="s">
        <v>108</v>
      </c>
      <c r="AW1" s="68" t="s">
        <v>109</v>
      </c>
      <c r="AX1" s="68" t="s">
        <v>110</v>
      </c>
      <c r="AY1" s="68" t="s">
        <v>111</v>
      </c>
      <c r="AZ1" s="68" t="s">
        <v>112</v>
      </c>
      <c r="BA1" s="68" t="s">
        <v>113</v>
      </c>
      <c r="BB1" s="68" t="s">
        <v>114</v>
      </c>
      <c r="BC1" s="68" t="s">
        <v>115</v>
      </c>
      <c r="BD1" s="68" t="s">
        <v>116</v>
      </c>
      <c r="BE1" s="68" t="s">
        <v>117</v>
      </c>
      <c r="BF1" s="68" t="s">
        <v>118</v>
      </c>
      <c r="BG1" s="68" t="s">
        <v>119</v>
      </c>
      <c r="BH1" s="68" t="s">
        <v>120</v>
      </c>
      <c r="BI1" s="68" t="s">
        <v>121</v>
      </c>
      <c r="BJ1" s="68" t="s">
        <v>122</v>
      </c>
      <c r="BK1" s="68" t="s">
        <v>123</v>
      </c>
      <c r="BL1" s="68" t="s">
        <v>124</v>
      </c>
      <c r="BM1" s="68" t="s">
        <v>125</v>
      </c>
      <c r="BN1" s="68" t="s">
        <v>126</v>
      </c>
      <c r="BO1" s="68" t="s">
        <v>127</v>
      </c>
      <c r="BP1" s="68" t="s">
        <v>128</v>
      </c>
      <c r="BQ1" s="68" t="s">
        <v>129</v>
      </c>
      <c r="BR1" s="68" t="s">
        <v>130</v>
      </c>
      <c r="BS1" s="68" t="s">
        <v>131</v>
      </c>
      <c r="BT1" s="68" t="s">
        <v>132</v>
      </c>
      <c r="BU1" s="68" t="s">
        <v>133</v>
      </c>
      <c r="BV1" s="68" t="s">
        <v>134</v>
      </c>
      <c r="BW1" s="68" t="s">
        <v>135</v>
      </c>
      <c r="BX1" s="68" t="s">
        <v>136</v>
      </c>
      <c r="BY1" s="68" t="s">
        <v>137</v>
      </c>
      <c r="BZ1" s="68" t="s">
        <v>138</v>
      </c>
      <c r="CA1" s="68" t="s">
        <v>139</v>
      </c>
      <c r="CB1" s="68" t="s">
        <v>140</v>
      </c>
      <c r="CC1" s="68" t="s">
        <v>141</v>
      </c>
      <c r="CD1" s="68" t="s">
        <v>142</v>
      </c>
      <c r="CE1" s="68" t="s">
        <v>143</v>
      </c>
      <c r="CF1" s="68" t="s">
        <v>144</v>
      </c>
      <c r="CG1" s="68" t="s">
        <v>145</v>
      </c>
      <c r="CH1" s="68" t="s">
        <v>146</v>
      </c>
      <c r="CI1" s="68" t="s">
        <v>147</v>
      </c>
    </row>
    <row r="2" spans="1:87" x14ac:dyDescent="0.25">
      <c r="A2" s="79" t="s">
        <v>64</v>
      </c>
      <c r="B2" s="89">
        <v>2</v>
      </c>
      <c r="C2" s="90">
        <v>1</v>
      </c>
      <c r="D2" s="89">
        <v>1</v>
      </c>
      <c r="E2" s="68">
        <f>SUM(G2:M2)</f>
        <v>0</v>
      </c>
      <c r="F2" s="90" t="e">
        <f>AVERAGE(G2:M2)</f>
        <v>#DIV/0!</v>
      </c>
      <c r="I2" s="89" t="s">
        <v>192</v>
      </c>
      <c r="J2" s="90" t="s">
        <v>192</v>
      </c>
    </row>
    <row r="3" spans="1:87" x14ac:dyDescent="0.25">
      <c r="A3" s="79" t="s">
        <v>168</v>
      </c>
      <c r="B3" s="89">
        <v>2</v>
      </c>
      <c r="C3" s="90">
        <v>1</v>
      </c>
      <c r="D3" s="89">
        <v>2</v>
      </c>
      <c r="E3" s="68">
        <f>SUM(G3:M3)</f>
        <v>6</v>
      </c>
      <c r="F3" s="90">
        <f>AVERAGE(G3:M3)</f>
        <v>3</v>
      </c>
      <c r="G3" s="89" t="s">
        <v>192</v>
      </c>
      <c r="H3" s="90" t="s">
        <v>192</v>
      </c>
      <c r="I3" s="89">
        <v>3</v>
      </c>
      <c r="J3" s="90">
        <v>3</v>
      </c>
    </row>
    <row r="4" spans="1:87" x14ac:dyDescent="0.25">
      <c r="A4" s="79" t="s">
        <v>48</v>
      </c>
      <c r="B4" s="89">
        <v>2</v>
      </c>
      <c r="C4" s="90">
        <v>1</v>
      </c>
      <c r="D4" s="89">
        <v>1</v>
      </c>
      <c r="E4" s="68">
        <f>SUM(G4:M4)</f>
        <v>0</v>
      </c>
      <c r="F4" s="90" t="e">
        <f>AVERAGE(G4:M4)</f>
        <v>#DIV/0!</v>
      </c>
      <c r="G4" s="89" t="s">
        <v>192</v>
      </c>
      <c r="H4" s="90" t="s">
        <v>192</v>
      </c>
    </row>
    <row r="5" spans="1:87" x14ac:dyDescent="0.25">
      <c r="A5" s="79" t="s">
        <v>180</v>
      </c>
      <c r="B5" s="89">
        <v>2</v>
      </c>
      <c r="C5" s="90">
        <v>0</v>
      </c>
      <c r="D5" s="89">
        <v>2</v>
      </c>
      <c r="E5" s="68">
        <f>SUM(G5:M5)</f>
        <v>2</v>
      </c>
      <c r="F5" s="90">
        <f>AVERAGE(G5:M5)</f>
        <v>1</v>
      </c>
      <c r="G5" s="89">
        <v>1</v>
      </c>
      <c r="H5" s="90" t="s">
        <v>192</v>
      </c>
      <c r="I5" s="89">
        <v>1</v>
      </c>
      <c r="J5" s="90" t="s">
        <v>192</v>
      </c>
    </row>
    <row r="6" spans="1:87" x14ac:dyDescent="0.25">
      <c r="A6" s="79" t="s">
        <v>151</v>
      </c>
      <c r="B6" s="89">
        <v>1</v>
      </c>
      <c r="C6" s="90">
        <v>0</v>
      </c>
      <c r="D6" s="89">
        <v>1</v>
      </c>
      <c r="E6" s="68">
        <f>SUM(G6:M6)</f>
        <v>2</v>
      </c>
      <c r="F6" s="90">
        <f>AVERAGE(G6:M6)</f>
        <v>2</v>
      </c>
      <c r="I6" s="89">
        <v>2</v>
      </c>
      <c r="J6" s="90" t="s">
        <v>192</v>
      </c>
    </row>
    <row r="7" spans="1:87" x14ac:dyDescent="0.25">
      <c r="A7" s="79" t="s">
        <v>153</v>
      </c>
      <c r="B7" s="89">
        <v>1</v>
      </c>
      <c r="C7" s="90">
        <v>0</v>
      </c>
      <c r="D7" s="89">
        <v>1</v>
      </c>
      <c r="E7" s="68">
        <f>SUM(G7:M7)</f>
        <v>2</v>
      </c>
      <c r="F7" s="90">
        <f>AVERAGE(G7:M7)</f>
        <v>2</v>
      </c>
      <c r="I7" s="89">
        <v>2</v>
      </c>
      <c r="J7" s="90" t="s">
        <v>192</v>
      </c>
    </row>
    <row r="8" spans="1:87" x14ac:dyDescent="0.25">
      <c r="A8" s="79" t="s">
        <v>158</v>
      </c>
      <c r="B8" s="89">
        <v>1</v>
      </c>
      <c r="C8" s="90">
        <v>1</v>
      </c>
      <c r="D8" s="89">
        <v>1</v>
      </c>
      <c r="E8" s="68">
        <f>SUM(G8:M8)</f>
        <v>0</v>
      </c>
      <c r="F8" s="90" t="e">
        <f>AVERAGE(G8:M8)</f>
        <v>#DIV/0!</v>
      </c>
      <c r="I8" s="89" t="s">
        <v>192</v>
      </c>
      <c r="J8" s="90" t="s">
        <v>192</v>
      </c>
    </row>
    <row r="9" spans="1:87" x14ac:dyDescent="0.25">
      <c r="A9" s="79" t="s">
        <v>53</v>
      </c>
      <c r="B9" s="89">
        <v>0</v>
      </c>
      <c r="C9" s="90">
        <v>0</v>
      </c>
      <c r="D9" s="89">
        <v>0</v>
      </c>
      <c r="E9" s="68">
        <f>SUM(G9:M9)</f>
        <v>3</v>
      </c>
      <c r="F9" s="90">
        <f>AVERAGE(G9:M9)</f>
        <v>1.5</v>
      </c>
      <c r="I9" s="89">
        <v>2</v>
      </c>
      <c r="J9" s="90">
        <v>1</v>
      </c>
    </row>
    <row r="10" spans="1:87" x14ac:dyDescent="0.25">
      <c r="A10" s="79" t="s">
        <v>181</v>
      </c>
      <c r="B10" s="89">
        <v>0</v>
      </c>
      <c r="C10" s="90">
        <v>0</v>
      </c>
      <c r="D10" s="89">
        <v>0</v>
      </c>
      <c r="E10" s="68">
        <f>SUM(G10:M10)</f>
        <v>0</v>
      </c>
      <c r="F10" s="90" t="e">
        <f>AVERAGE(G10:M10)</f>
        <v>#DIV/0!</v>
      </c>
    </row>
    <row r="11" spans="1:87" x14ac:dyDescent="0.25">
      <c r="A11" s="79" t="s">
        <v>182</v>
      </c>
      <c r="B11" s="89">
        <v>0</v>
      </c>
      <c r="C11" s="90">
        <v>0</v>
      </c>
      <c r="D11" s="89">
        <v>0</v>
      </c>
      <c r="E11" s="68">
        <f>SUM(G11:M11)</f>
        <v>0</v>
      </c>
      <c r="F11" s="90" t="e">
        <f>AVERAGE(G11:M11)</f>
        <v>#DIV/0!</v>
      </c>
    </row>
    <row r="12" spans="1:87" x14ac:dyDescent="0.25">
      <c r="A12" s="79" t="s">
        <v>173</v>
      </c>
      <c r="B12" s="89">
        <v>0</v>
      </c>
      <c r="C12" s="90">
        <v>0</v>
      </c>
      <c r="D12" s="89">
        <v>0</v>
      </c>
      <c r="E12" s="68">
        <f>SUM(G12:M12)</f>
        <v>0</v>
      </c>
      <c r="F12" s="90" t="e">
        <f>AVERAGE(G12:M12)</f>
        <v>#DIV/0!</v>
      </c>
    </row>
    <row r="13" spans="1:87" x14ac:dyDescent="0.25">
      <c r="A13" s="79" t="s">
        <v>152</v>
      </c>
      <c r="B13" s="89">
        <v>0</v>
      </c>
      <c r="C13" s="90">
        <v>0</v>
      </c>
      <c r="D13" s="89">
        <v>0</v>
      </c>
      <c r="E13" s="68">
        <f>SUM(G13:M13)</f>
        <v>0</v>
      </c>
      <c r="F13" s="90" t="e">
        <f>AVERAGE(G13:M13)</f>
        <v>#DIV/0!</v>
      </c>
    </row>
    <row r="14" spans="1:87" x14ac:dyDescent="0.25">
      <c r="A14" s="79" t="s">
        <v>175</v>
      </c>
      <c r="B14" s="89">
        <v>0</v>
      </c>
      <c r="C14" s="90">
        <v>0</v>
      </c>
      <c r="D14" s="89">
        <v>0</v>
      </c>
      <c r="E14" s="68">
        <f>SUM(G14:M14)</f>
        <v>0</v>
      </c>
      <c r="F14" s="90" t="e">
        <f>AVERAGE(G14:M14)</f>
        <v>#DIV/0!</v>
      </c>
    </row>
    <row r="15" spans="1:87" x14ac:dyDescent="0.25">
      <c r="A15" s="79" t="s">
        <v>169</v>
      </c>
      <c r="B15" s="89">
        <v>0</v>
      </c>
      <c r="C15" s="90">
        <v>0</v>
      </c>
      <c r="D15" s="89">
        <v>0</v>
      </c>
      <c r="E15" s="68">
        <f>SUM(G15:M15)</f>
        <v>0</v>
      </c>
      <c r="F15" s="90" t="e">
        <f>AVERAGE(G15:M15)</f>
        <v>#DIV/0!</v>
      </c>
    </row>
    <row r="16" spans="1:87" x14ac:dyDescent="0.25">
      <c r="A16" s="79" t="s">
        <v>176</v>
      </c>
      <c r="B16" s="89">
        <v>0</v>
      </c>
      <c r="C16" s="90">
        <v>0</v>
      </c>
      <c r="D16" s="89">
        <v>1</v>
      </c>
      <c r="E16" s="68">
        <f>SUM(G16:M16)</f>
        <v>4</v>
      </c>
      <c r="F16" s="90">
        <f>AVERAGE(G16:M16)</f>
        <v>2</v>
      </c>
      <c r="I16" s="89">
        <v>3</v>
      </c>
      <c r="J16" s="90">
        <v>1</v>
      </c>
    </row>
    <row r="17" spans="1:10" x14ac:dyDescent="0.25">
      <c r="A17" s="79" t="s">
        <v>164</v>
      </c>
      <c r="B17" s="89">
        <v>0</v>
      </c>
      <c r="C17" s="90">
        <v>0</v>
      </c>
      <c r="D17" s="89">
        <v>0</v>
      </c>
      <c r="E17" s="68">
        <f>SUM(G17:M17)</f>
        <v>0</v>
      </c>
      <c r="F17" s="90" t="e">
        <f>AVERAGE(G17:M17)</f>
        <v>#DIV/0!</v>
      </c>
    </row>
    <row r="18" spans="1:10" x14ac:dyDescent="0.25">
      <c r="A18" s="79" t="s">
        <v>171</v>
      </c>
      <c r="B18" s="89">
        <v>0</v>
      </c>
      <c r="C18" s="90">
        <v>0</v>
      </c>
      <c r="D18" s="89">
        <v>0</v>
      </c>
      <c r="E18" s="68">
        <f>SUM(G18:M18)</f>
        <v>0</v>
      </c>
      <c r="F18" s="90" t="e">
        <f>AVERAGE(G18:M18)</f>
        <v>#DIV/0!</v>
      </c>
    </row>
    <row r="19" spans="1:10" x14ac:dyDescent="0.25">
      <c r="A19" s="79" t="s">
        <v>170</v>
      </c>
      <c r="B19" s="89">
        <v>0</v>
      </c>
      <c r="C19" s="90">
        <v>0</v>
      </c>
      <c r="D19" s="89">
        <v>0</v>
      </c>
      <c r="E19" s="68">
        <f>SUM(G19:M19)</f>
        <v>0</v>
      </c>
      <c r="F19" s="90" t="e">
        <f>AVERAGE(G19:M19)</f>
        <v>#DIV/0!</v>
      </c>
    </row>
    <row r="20" spans="1:10" x14ac:dyDescent="0.25">
      <c r="A20" s="79" t="s">
        <v>159</v>
      </c>
      <c r="B20" s="89">
        <v>0</v>
      </c>
      <c r="C20" s="90">
        <v>0</v>
      </c>
      <c r="D20" s="89">
        <v>1</v>
      </c>
      <c r="E20" s="68">
        <f>SUM(G20:M20)</f>
        <v>4</v>
      </c>
      <c r="F20" s="90">
        <f>AVERAGE(G20:M20)</f>
        <v>2</v>
      </c>
      <c r="I20" s="89">
        <v>3</v>
      </c>
      <c r="J20" s="90">
        <v>1</v>
      </c>
    </row>
    <row r="21" spans="1:10" x14ac:dyDescent="0.25">
      <c r="A21" s="79" t="s">
        <v>11</v>
      </c>
      <c r="B21" s="89">
        <v>0</v>
      </c>
      <c r="C21" s="90">
        <v>0</v>
      </c>
      <c r="D21" s="89">
        <v>0</v>
      </c>
      <c r="E21" s="68">
        <f>SUM(G21:M21)</f>
        <v>0</v>
      </c>
      <c r="F21" s="90" t="e">
        <f>AVERAGE(G21:M21)</f>
        <v>#DIV/0!</v>
      </c>
    </row>
    <row r="22" spans="1:10" x14ac:dyDescent="0.25">
      <c r="A22" s="79" t="s">
        <v>167</v>
      </c>
      <c r="B22" s="89">
        <v>0</v>
      </c>
      <c r="C22" s="90">
        <v>0</v>
      </c>
      <c r="D22" s="89">
        <v>0</v>
      </c>
      <c r="E22" s="68">
        <f>SUM(G22:M22)</f>
        <v>0</v>
      </c>
      <c r="F22" s="90" t="e">
        <f>AVERAGE(G22:M22)</f>
        <v>#DIV/0!</v>
      </c>
    </row>
    <row r="23" spans="1:10" x14ac:dyDescent="0.25">
      <c r="A23" s="79" t="s">
        <v>185</v>
      </c>
      <c r="B23" s="89">
        <v>0</v>
      </c>
      <c r="C23" s="90">
        <v>0</v>
      </c>
      <c r="D23" s="89">
        <v>0</v>
      </c>
      <c r="E23" s="68">
        <f>SUM(G23:M23)</f>
        <v>0</v>
      </c>
      <c r="F23" s="90" t="e">
        <f>AVERAGE(G23:M23)</f>
        <v>#DIV/0!</v>
      </c>
    </row>
    <row r="24" spans="1:10" x14ac:dyDescent="0.25">
      <c r="A24" s="79" t="s">
        <v>9</v>
      </c>
      <c r="B24" s="89">
        <v>0</v>
      </c>
      <c r="C24" s="90">
        <v>0</v>
      </c>
      <c r="D24" s="89">
        <v>0</v>
      </c>
      <c r="E24" s="68">
        <f>SUM(G24:M24)</f>
        <v>0</v>
      </c>
      <c r="F24" s="90" t="e">
        <f>AVERAGE(G24:M24)</f>
        <v>#DIV/0!</v>
      </c>
    </row>
    <row r="25" spans="1:10" x14ac:dyDescent="0.25">
      <c r="A25" s="79" t="s">
        <v>5</v>
      </c>
      <c r="B25" s="89">
        <v>0</v>
      </c>
      <c r="C25" s="90">
        <v>0</v>
      </c>
      <c r="D25" s="89">
        <v>0</v>
      </c>
      <c r="E25" s="68">
        <f>SUM(G25:M25)</f>
        <v>0</v>
      </c>
      <c r="F25" s="90" t="e">
        <f>AVERAGE(G25:M25)</f>
        <v>#DIV/0!</v>
      </c>
    </row>
    <row r="26" spans="1:10" x14ac:dyDescent="0.25">
      <c r="A26" s="79" t="s">
        <v>55</v>
      </c>
      <c r="B26" s="89">
        <v>0</v>
      </c>
      <c r="C26" s="90">
        <v>0</v>
      </c>
      <c r="D26" s="89">
        <v>0</v>
      </c>
      <c r="E26" s="68">
        <f>SUM(G26:M26)</f>
        <v>0</v>
      </c>
      <c r="F26" s="90" t="e">
        <f>AVERAGE(G26:M26)</f>
        <v>#DIV/0!</v>
      </c>
    </row>
    <row r="27" spans="1:10" x14ac:dyDescent="0.25">
      <c r="A27" s="79" t="s">
        <v>156</v>
      </c>
      <c r="B27" s="89">
        <v>0</v>
      </c>
      <c r="C27" s="90">
        <v>0</v>
      </c>
      <c r="D27" s="89">
        <v>0</v>
      </c>
      <c r="E27" s="68">
        <f>SUM(G27:M27)</f>
        <v>0</v>
      </c>
      <c r="F27" s="90" t="e">
        <f>AVERAGE(G27:M27)</f>
        <v>#DIV/0!</v>
      </c>
    </row>
    <row r="28" spans="1:10" x14ac:dyDescent="0.25">
      <c r="A28" s="79" t="s">
        <v>184</v>
      </c>
      <c r="B28" s="89">
        <v>0</v>
      </c>
      <c r="C28" s="90">
        <v>0</v>
      </c>
      <c r="D28" s="89">
        <v>0</v>
      </c>
      <c r="E28" s="68">
        <f>SUM(G28:M28)</f>
        <v>0</v>
      </c>
      <c r="F28" s="90" t="e">
        <f>AVERAGE(G28:M28)</f>
        <v>#DIV/0!</v>
      </c>
    </row>
    <row r="29" spans="1:10" x14ac:dyDescent="0.25">
      <c r="A29" s="79" t="s">
        <v>41</v>
      </c>
      <c r="B29" s="89">
        <v>0</v>
      </c>
      <c r="C29" s="90">
        <v>0</v>
      </c>
      <c r="D29" s="89">
        <v>1</v>
      </c>
      <c r="E29" s="68">
        <f>SUM(G29:M29)</f>
        <v>6</v>
      </c>
      <c r="F29" s="90">
        <f>AVERAGE(G29:M29)</f>
        <v>3</v>
      </c>
      <c r="I29" s="89">
        <v>3</v>
      </c>
      <c r="J29" s="90">
        <v>3</v>
      </c>
    </row>
    <row r="30" spans="1:10" x14ac:dyDescent="0.25">
      <c r="A30" s="79" t="s">
        <v>178</v>
      </c>
      <c r="B30" s="89">
        <v>0</v>
      </c>
      <c r="C30" s="90">
        <v>0</v>
      </c>
      <c r="D30" s="89">
        <v>0</v>
      </c>
      <c r="E30" s="68">
        <f>SUM(G30:M30)</f>
        <v>0</v>
      </c>
      <c r="F30" s="90" t="e">
        <f>AVERAGE(G30:M30)</f>
        <v>#DIV/0!</v>
      </c>
    </row>
    <row r="31" spans="1:10" x14ac:dyDescent="0.25">
      <c r="A31" s="79" t="s">
        <v>172</v>
      </c>
      <c r="B31" s="89">
        <v>0</v>
      </c>
      <c r="C31" s="90">
        <v>0</v>
      </c>
      <c r="D31" s="89">
        <v>0</v>
      </c>
      <c r="E31" s="68">
        <f>SUM(G31:M31)</f>
        <v>0</v>
      </c>
      <c r="F31" s="90" t="e">
        <f>AVERAGE(G31:M31)</f>
        <v>#DIV/0!</v>
      </c>
    </row>
    <row r="32" spans="1:10" x14ac:dyDescent="0.25">
      <c r="A32" s="79" t="s">
        <v>160</v>
      </c>
      <c r="B32" s="89">
        <v>0</v>
      </c>
      <c r="C32" s="90">
        <v>0</v>
      </c>
      <c r="D32" s="89">
        <v>0</v>
      </c>
      <c r="E32" s="68">
        <f>SUM(G32:M32)</f>
        <v>0</v>
      </c>
      <c r="F32" s="90" t="e">
        <f>AVERAGE(G32:M32)</f>
        <v>#DIV/0!</v>
      </c>
      <c r="I32" s="91"/>
    </row>
    <row r="33" spans="1:10" x14ac:dyDescent="0.25">
      <c r="A33" s="79" t="s">
        <v>174</v>
      </c>
      <c r="B33" s="89">
        <v>0</v>
      </c>
      <c r="C33" s="90">
        <v>0</v>
      </c>
      <c r="D33" s="89">
        <v>0</v>
      </c>
      <c r="E33" s="68">
        <f>SUM(G33:M33)</f>
        <v>0</v>
      </c>
      <c r="F33" s="90" t="e">
        <f>AVERAGE(G33:M33)</f>
        <v>#DIV/0!</v>
      </c>
    </row>
    <row r="34" spans="1:10" x14ac:dyDescent="0.25">
      <c r="A34" s="79" t="s">
        <v>42</v>
      </c>
      <c r="B34" s="89">
        <v>0</v>
      </c>
      <c r="C34" s="90">
        <v>0</v>
      </c>
      <c r="D34" s="89">
        <v>0</v>
      </c>
      <c r="E34" s="68">
        <f>SUM(G34:M34)</f>
        <v>0</v>
      </c>
      <c r="F34" s="90" t="e">
        <f>AVERAGE(G34:M34)</f>
        <v>#DIV/0!</v>
      </c>
    </row>
    <row r="35" spans="1:10" x14ac:dyDescent="0.25">
      <c r="A35" s="79" t="s">
        <v>166</v>
      </c>
      <c r="B35" s="89">
        <v>0</v>
      </c>
      <c r="C35" s="90">
        <v>0</v>
      </c>
      <c r="D35" s="89">
        <v>0</v>
      </c>
      <c r="E35" s="68">
        <f>SUM(G35:M35)</f>
        <v>0</v>
      </c>
      <c r="F35" s="90" t="e">
        <f>AVERAGE(G35:M35)</f>
        <v>#DIV/0!</v>
      </c>
    </row>
    <row r="36" spans="1:10" x14ac:dyDescent="0.25">
      <c r="A36" s="79" t="s">
        <v>183</v>
      </c>
      <c r="B36" s="89">
        <v>0</v>
      </c>
      <c r="C36" s="90">
        <v>0</v>
      </c>
      <c r="D36" s="89">
        <v>0</v>
      </c>
      <c r="E36" s="68">
        <f>SUM(G36:M36)</f>
        <v>0</v>
      </c>
      <c r="F36" s="90" t="e">
        <f>AVERAGE(G36:M36)</f>
        <v>#DIV/0!</v>
      </c>
    </row>
    <row r="37" spans="1:10" x14ac:dyDescent="0.25">
      <c r="A37" s="79" t="s">
        <v>177</v>
      </c>
      <c r="B37" s="89">
        <v>0</v>
      </c>
      <c r="C37" s="90">
        <v>0</v>
      </c>
      <c r="D37" s="89">
        <v>0</v>
      </c>
      <c r="E37" s="68">
        <f>SUM(G37:M37)</f>
        <v>0</v>
      </c>
      <c r="F37" s="90" t="e">
        <f>AVERAGE(G37:M37)</f>
        <v>#DIV/0!</v>
      </c>
    </row>
    <row r="38" spans="1:10" x14ac:dyDescent="0.25">
      <c r="A38" s="79" t="s">
        <v>179</v>
      </c>
      <c r="B38" s="89">
        <v>0</v>
      </c>
      <c r="C38" s="90">
        <v>0</v>
      </c>
      <c r="D38" s="89">
        <v>0</v>
      </c>
      <c r="E38" s="68">
        <f>SUM(G38:M38)</f>
        <v>0</v>
      </c>
      <c r="F38" s="90" t="e">
        <f>AVERAGE(G38:M38)</f>
        <v>#DIV/0!</v>
      </c>
    </row>
    <row r="39" spans="1:10" x14ac:dyDescent="0.25">
      <c r="A39" s="79" t="s">
        <v>155</v>
      </c>
      <c r="B39" s="89">
        <v>0</v>
      </c>
      <c r="C39" s="90">
        <v>0</v>
      </c>
      <c r="D39" s="89">
        <v>0</v>
      </c>
      <c r="E39" s="68">
        <f>SUM(G39:M39)</f>
        <v>0</v>
      </c>
      <c r="F39" s="90" t="e">
        <f>AVERAGE(G39:M39)</f>
        <v>#DIV/0!</v>
      </c>
    </row>
    <row r="40" spans="1:10" x14ac:dyDescent="0.25">
      <c r="A40" s="79" t="s">
        <v>154</v>
      </c>
      <c r="B40" s="89">
        <v>0</v>
      </c>
      <c r="C40" s="90">
        <v>0</v>
      </c>
      <c r="D40" s="89">
        <v>1</v>
      </c>
      <c r="E40" s="68">
        <f>SUM(G40:M40)</f>
        <v>6</v>
      </c>
      <c r="F40" s="90">
        <f>AVERAGE(G40:M40)</f>
        <v>3</v>
      </c>
      <c r="G40" s="89">
        <v>3</v>
      </c>
      <c r="H40" s="90">
        <v>3</v>
      </c>
    </row>
    <row r="41" spans="1:10" x14ac:dyDescent="0.25">
      <c r="A41" s="79" t="s">
        <v>3</v>
      </c>
      <c r="B41" s="89">
        <v>0</v>
      </c>
      <c r="C41" s="90">
        <v>0</v>
      </c>
      <c r="D41" s="89">
        <v>2</v>
      </c>
      <c r="E41" s="68">
        <f>SUM(G41:M41)</f>
        <v>11</v>
      </c>
      <c r="F41" s="90">
        <f>AVERAGE(G41:M41)</f>
        <v>2.75</v>
      </c>
      <c r="G41" s="89">
        <v>3</v>
      </c>
      <c r="H41" s="90">
        <v>3</v>
      </c>
      <c r="I41" s="89">
        <v>3</v>
      </c>
      <c r="J41" s="90">
        <v>2</v>
      </c>
    </row>
    <row r="42" spans="1:10" x14ac:dyDescent="0.25">
      <c r="A42" s="79" t="s">
        <v>15</v>
      </c>
      <c r="B42" s="89">
        <v>0</v>
      </c>
      <c r="C42" s="90">
        <v>0</v>
      </c>
      <c r="D42" s="89">
        <v>1</v>
      </c>
      <c r="E42" s="68">
        <f>SUM(G42:M42)</f>
        <v>6</v>
      </c>
      <c r="F42" s="90">
        <f>AVERAGE(G42:M42)</f>
        <v>3</v>
      </c>
      <c r="G42" s="89">
        <v>3</v>
      </c>
      <c r="H42" s="90">
        <v>3</v>
      </c>
    </row>
    <row r="43" spans="1:10" x14ac:dyDescent="0.25">
      <c r="A43" s="79" t="s">
        <v>6</v>
      </c>
      <c r="B43" s="89">
        <v>0</v>
      </c>
      <c r="C43" s="90">
        <v>0</v>
      </c>
      <c r="D43" s="89">
        <v>2</v>
      </c>
      <c r="E43" s="68">
        <f>SUM(G43:M43)</f>
        <v>11</v>
      </c>
      <c r="F43" s="90">
        <f>AVERAGE(G43:M43)</f>
        <v>2.75</v>
      </c>
      <c r="G43" s="89">
        <v>3</v>
      </c>
      <c r="H43" s="90">
        <v>3</v>
      </c>
      <c r="I43" s="89">
        <v>2</v>
      </c>
      <c r="J43" s="90">
        <v>3</v>
      </c>
    </row>
    <row r="44" spans="1:10" x14ac:dyDescent="0.25">
      <c r="A44" s="79" t="s">
        <v>162</v>
      </c>
      <c r="B44" s="89">
        <v>0</v>
      </c>
      <c r="C44" s="90">
        <v>0</v>
      </c>
      <c r="D44" s="89">
        <v>2</v>
      </c>
      <c r="E44" s="68">
        <f>SUM(G44:M44)</f>
        <v>11</v>
      </c>
      <c r="F44" s="90">
        <f>AVERAGE(G44:M44)</f>
        <v>2.75</v>
      </c>
      <c r="G44" s="89">
        <v>3</v>
      </c>
      <c r="H44" s="90">
        <v>3</v>
      </c>
      <c r="I44" s="89">
        <v>2</v>
      </c>
      <c r="J44" s="90">
        <v>3</v>
      </c>
    </row>
    <row r="45" spans="1:10" x14ac:dyDescent="0.25">
      <c r="A45" s="79" t="s">
        <v>157</v>
      </c>
      <c r="B45" s="89">
        <v>0</v>
      </c>
      <c r="C45" s="90">
        <v>0</v>
      </c>
      <c r="D45" s="89">
        <v>2</v>
      </c>
      <c r="E45" s="68">
        <f>SUM(G45:M45)</f>
        <v>7</v>
      </c>
      <c r="F45" s="90">
        <f>AVERAGE(G45:M45)</f>
        <v>1.75</v>
      </c>
      <c r="G45" s="89">
        <v>2</v>
      </c>
      <c r="H45" s="90">
        <v>3</v>
      </c>
      <c r="I45" s="89">
        <v>1</v>
      </c>
      <c r="J45" s="90">
        <v>1</v>
      </c>
    </row>
    <row r="46" spans="1:10" x14ac:dyDescent="0.25">
      <c r="A46" s="79" t="s">
        <v>161</v>
      </c>
      <c r="B46" s="89">
        <v>0</v>
      </c>
      <c r="C46" s="90">
        <v>0</v>
      </c>
      <c r="D46" s="89">
        <v>2</v>
      </c>
      <c r="E46" s="68">
        <f>SUM(G46:M46)</f>
        <v>10</v>
      </c>
      <c r="F46" s="90">
        <f>AVERAGE(G46:M46)</f>
        <v>2.5</v>
      </c>
      <c r="G46" s="89">
        <v>2</v>
      </c>
      <c r="H46" s="90">
        <v>3</v>
      </c>
      <c r="I46" s="89">
        <v>2</v>
      </c>
      <c r="J46" s="90">
        <v>3</v>
      </c>
    </row>
    <row r="47" spans="1:10" x14ac:dyDescent="0.25">
      <c r="A47" s="79" t="s">
        <v>52</v>
      </c>
      <c r="B47" s="89">
        <v>0</v>
      </c>
      <c r="C47" s="90">
        <v>0</v>
      </c>
      <c r="D47" s="89">
        <v>2</v>
      </c>
      <c r="E47" s="68">
        <f>SUM(G47:M47)</f>
        <v>10</v>
      </c>
      <c r="F47" s="90">
        <f>AVERAGE(G47:M47)</f>
        <v>2.5</v>
      </c>
      <c r="G47" s="89">
        <v>3</v>
      </c>
      <c r="H47" s="90">
        <v>1</v>
      </c>
      <c r="I47" s="89">
        <v>3</v>
      </c>
      <c r="J47" s="90">
        <v>3</v>
      </c>
    </row>
    <row r="48" spans="1:10" x14ac:dyDescent="0.25">
      <c r="A48" s="79" t="s">
        <v>17</v>
      </c>
      <c r="B48" s="89">
        <v>0</v>
      </c>
      <c r="C48" s="90">
        <v>0</v>
      </c>
      <c r="D48" s="89">
        <v>2</v>
      </c>
      <c r="E48" s="68">
        <f>SUM(G48:M48)</f>
        <v>10</v>
      </c>
      <c r="F48" s="90">
        <f>AVERAGE(G48:M48)</f>
        <v>2.5</v>
      </c>
      <c r="G48" s="89">
        <v>1</v>
      </c>
      <c r="H48" s="90">
        <v>3</v>
      </c>
      <c r="I48" s="89">
        <v>3</v>
      </c>
      <c r="J48" s="90">
        <v>3</v>
      </c>
    </row>
    <row r="49" spans="1:10" x14ac:dyDescent="0.25">
      <c r="A49" s="79" t="s">
        <v>165</v>
      </c>
      <c r="B49" s="89">
        <v>0</v>
      </c>
      <c r="C49" s="90">
        <v>0</v>
      </c>
      <c r="D49" s="89">
        <v>2</v>
      </c>
      <c r="E49" s="68">
        <f>SUM(G49:M49)</f>
        <v>3</v>
      </c>
      <c r="F49" s="90">
        <f>AVERAGE(G49:M49)</f>
        <v>0.75</v>
      </c>
      <c r="G49" s="89">
        <v>2</v>
      </c>
      <c r="H49" s="90">
        <v>1</v>
      </c>
      <c r="I49" s="89">
        <v>0</v>
      </c>
      <c r="J49" s="90">
        <v>0</v>
      </c>
    </row>
    <row r="50" spans="1:10" x14ac:dyDescent="0.25">
      <c r="A50" s="79" t="s">
        <v>56</v>
      </c>
      <c r="B50" s="89">
        <v>0</v>
      </c>
      <c r="C50" s="90">
        <v>0</v>
      </c>
      <c r="D50" s="89">
        <v>2</v>
      </c>
      <c r="E50" s="68">
        <f>SUM(G50:M50)</f>
        <v>7</v>
      </c>
      <c r="F50" s="90">
        <f>AVERAGE(G50:M50)</f>
        <v>1.75</v>
      </c>
      <c r="G50" s="89">
        <v>1</v>
      </c>
      <c r="H50" s="90">
        <v>2</v>
      </c>
      <c r="I50" s="89">
        <v>1</v>
      </c>
      <c r="J50" s="90">
        <v>3</v>
      </c>
    </row>
    <row r="51" spans="1:10" x14ac:dyDescent="0.25">
      <c r="A51" s="79" t="s">
        <v>163</v>
      </c>
      <c r="B51" s="89">
        <v>0</v>
      </c>
      <c r="C51" s="90">
        <v>0</v>
      </c>
      <c r="D51" s="89">
        <v>2</v>
      </c>
      <c r="E51" s="68">
        <f>SUM(G51:M51)</f>
        <v>9</v>
      </c>
      <c r="F51" s="90">
        <f>AVERAGE(G51:M51)</f>
        <v>2.25</v>
      </c>
      <c r="G51" s="89">
        <v>1</v>
      </c>
      <c r="H51" s="90">
        <v>2</v>
      </c>
      <c r="I51" s="89">
        <v>3</v>
      </c>
      <c r="J51" s="90">
        <v>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CWL 1</vt:lpstr>
      <vt:lpstr>CWL 2</vt:lpstr>
      <vt:lpstr>avv</vt:lpstr>
      <vt:lpstr>partecipanti</vt:lpstr>
      <vt:lpstr>wars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2025-12-24T18:51:48Z</dcterms:modified>
</cp:coreProperties>
</file>