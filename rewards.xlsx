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39F3FEBA-3DB8-4DB0-96DC-D6E2224365A4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CWL 1" sheetId="1" r:id="rId1"/>
    <sheet name="CWL 2" sheetId="2" r:id="rId2"/>
    <sheet name="avv" sheetId="3" r:id="rId3"/>
    <sheet name="partecipanti" sheetId="4" r:id="rId4"/>
    <sheet name="wars" sheetId="5" r:id="rId5"/>
    <sheet name="inatttivi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5" l="1"/>
  <c r="F3" i="5"/>
  <c r="F21" i="5"/>
  <c r="F22" i="5"/>
  <c r="F10" i="5"/>
  <c r="F23" i="5"/>
  <c r="F29" i="5"/>
  <c r="F24" i="5"/>
  <c r="F30" i="5"/>
  <c r="F31" i="5"/>
  <c r="F32" i="5"/>
  <c r="F33" i="5"/>
  <c r="F25" i="5"/>
  <c r="F34" i="5"/>
  <c r="F35" i="5"/>
  <c r="F36" i="5"/>
  <c r="F11" i="5"/>
  <c r="F37" i="5"/>
  <c r="F38" i="5"/>
  <c r="F39" i="5"/>
  <c r="F40" i="5"/>
  <c r="F41" i="5"/>
  <c r="F42" i="5"/>
  <c r="F43" i="5"/>
  <c r="F44" i="5"/>
  <c r="F26" i="5"/>
  <c r="F17" i="5"/>
  <c r="F45" i="5"/>
  <c r="F46" i="5"/>
  <c r="F47" i="5"/>
  <c r="F27" i="5"/>
  <c r="F48" i="5"/>
  <c r="F49" i="5"/>
  <c r="F50" i="5"/>
  <c r="F18" i="5"/>
  <c r="F28" i="5"/>
  <c r="F5" i="5"/>
  <c r="F16" i="5"/>
  <c r="F6" i="5"/>
  <c r="F12" i="5"/>
  <c r="F7" i="5"/>
  <c r="F4" i="5"/>
  <c r="F13" i="5"/>
  <c r="F8" i="5"/>
  <c r="F9" i="5"/>
  <c r="F14" i="5"/>
  <c r="F15" i="5"/>
  <c r="E15" i="5"/>
  <c r="E14" i="5"/>
  <c r="E9" i="5"/>
  <c r="E8" i="5"/>
  <c r="E13" i="5"/>
  <c r="E4" i="5"/>
  <c r="E7" i="5"/>
  <c r="E12" i="5"/>
  <c r="E6" i="5"/>
  <c r="E16" i="5"/>
  <c r="E5" i="5"/>
  <c r="E28" i="5"/>
  <c r="E18" i="5"/>
  <c r="E50" i="5"/>
  <c r="E49" i="5"/>
  <c r="E48" i="5"/>
  <c r="E27" i="5"/>
  <c r="E47" i="5"/>
  <c r="E46" i="5"/>
  <c r="E45" i="5"/>
  <c r="E17" i="5"/>
  <c r="E26" i="5"/>
  <c r="E44" i="5"/>
  <c r="E43" i="5"/>
  <c r="E42" i="5"/>
  <c r="E41" i="5"/>
  <c r="E40" i="5"/>
  <c r="E39" i="5"/>
  <c r="E38" i="5"/>
  <c r="E37" i="5"/>
  <c r="E11" i="5"/>
  <c r="E36" i="5"/>
  <c r="E35" i="5"/>
  <c r="E34" i="5"/>
  <c r="E25" i="5"/>
  <c r="E33" i="5"/>
  <c r="E32" i="5"/>
  <c r="E31" i="5"/>
  <c r="E30" i="5"/>
  <c r="E24" i="5"/>
  <c r="E29" i="5"/>
  <c r="E23" i="5"/>
  <c r="E10" i="5"/>
  <c r="E22" i="5"/>
  <c r="E21" i="5"/>
  <c r="E3" i="5"/>
  <c r="E20" i="5"/>
  <c r="F2" i="5"/>
  <c r="E2" i="5"/>
  <c r="F19" i="5"/>
  <c r="E19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<sst xmlns="http://schemas.openxmlformats.org/spreadsheetml/2006/main" count="358" uniqueCount="193">
  <si>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</si>
  <si>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</si>
  <si>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</si>
  <si>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</si>
  <si>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</si>
  <si>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</si>
  <si>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</si>
  <si>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</si>
  <si>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</si>
  <si>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</si>
  <si>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</si>
  <si>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</si>
  <si>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</si>
  <si>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</si>
  <si>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</si>
  <si>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</si>
  <si>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</si>
  <si>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</si>
  <si>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</si>
  <si>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</si>
  <si>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</si>
  <si>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</si>
  <si>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</si>
  <si>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</si>
  <si>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</si>
  <si>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</si>
  <si>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</si>
  <si>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</si>
  <si>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</si>
  <si>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</si>
  <si>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</si>
  <si>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</si>
  <si>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</si>
  <si>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</si>
  <si>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</si>
  <si>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</si>
  <si>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</si>
  <si>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</si>
  <si>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</si>
  <si>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</si>
  <si>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</si>
  <si>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</si>
  <si>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</si>
  <si>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</si>
  <si>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</si>
  <si>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</si>
  <si>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</si>
  <si>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</si>
  <si>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</si>
  <si>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</si>
  <si>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</si>
  <si>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</si>
  <si>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</si>
  <si>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</si>
  <si>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</si>
  <si>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</si>
  <si>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</si>
  <si>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</si>
  <si>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</si>
  <si>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</si>
  <si>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</si>
  <si>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</si>
  <si>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</si>
  <si>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</si>
  <si>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</si>
  <si>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</si>
  <si>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fabio</t>
  </si>
  <si>
    <t>daniele</t>
  </si>
  <si>
    <t>serra</t>
  </si>
  <si>
    <t>federico99</t>
  </si>
  <si>
    <t>lord pucci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</si>
  <si>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</si>
  <si>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</si>
  <si>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</si>
  <si>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</si>
  <si>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</si>
  <si>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</si>
  <si>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</si>
  <si>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</si>
  <si>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</si>
  <si>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</si>
  <si>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</si>
  <si>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</si>
  <si>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</si>
  <si>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</si>
  <si>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</si>
  <si>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</si>
  <si>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</si>
  <si>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</si>
  <si>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</si>
  <si>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</si>
  <si>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</si>
  <si>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</si>
  <si>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</si>
  <si>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</si>
  <si>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</si>
  <si>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</si>
  <si>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</si>
  <si>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</si>
  <si>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</si>
  <si>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</si>
  <si>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</si>
  <si>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</si>
  <si>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</si>
  <si>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</si>
  <si>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</si>
  <si>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</si>
  <si>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</si>
  <si>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</si>
  <si>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</si>
  <si>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</si>
  <si>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</si>
  <si>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</si>
  <si>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</si>
  <si>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</si>
  <si>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</si>
  <si>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</si>
  <si>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</si>
  <si>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</si>
  <si>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</si>
  <si>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</si>
  <si>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</si>
  <si>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</si>
  <si>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</si>
  <si>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</si>
  <si>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</si>
  <si>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</si>
  <si>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</si>
  <si>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</si>
  <si>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</si>
  <si>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</si>
  <si>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</si>
  <si>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</si>
  <si>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</si>
  <si>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</si>
  <si>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</si>
  <si>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</si>
  <si>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</si>
  <si>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</si>
  <si>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</si>
  <si>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</si>
  <si>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</si>
  <si>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</si>
  <si>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</si>
  <si>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</si>
  <si>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</si>
  <si>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</si>
  <si>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</si>
  <si>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</si>
  <si>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</si>
  <si>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</si>
  <si>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</si>
  <si>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</si>
  <si>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</si>
  <si>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</si>
  <si>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</si>
  <si>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</si>
  <si>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</si>
  <si>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</si>
  <si>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Luxor</t>
  </si>
  <si>
    <t>sidcu js</t>
  </si>
  <si>
    <t>ER DANDI 1927</t>
  </si>
  <si>
    <t>Luigi</t>
  </si>
  <si>
    <t>RobbyCV</t>
  </si>
  <si>
    <t>Alaa</t>
  </si>
  <si>
    <t>buff x-bow</t>
  </si>
  <si>
    <t>CARFI</t>
  </si>
  <si>
    <t>Chabby</t>
  </si>
  <si>
    <t>Cleopatra</t>
  </si>
  <si>
    <t>D 011</t>
  </si>
  <si>
    <t>dux104</t>
  </si>
  <si>
    <t>EdoDodo</t>
  </si>
  <si>
    <t>Floky23</t>
  </si>
  <si>
    <t>gh</t>
  </si>
  <si>
    <t>GiornoBrando</t>
  </si>
  <si>
    <t>king</t>
  </si>
  <si>
    <t>LELE11GAM3R</t>
  </si>
  <si>
    <t>Matty7_</t>
  </si>
  <si>
    <t>P.E.K.K.A</t>
  </si>
  <si>
    <t>R1cky_boffo</t>
  </si>
  <si>
    <t>Roberta</t>
  </si>
  <si>
    <t>Rosario</t>
  </si>
  <si>
    <t>shark</t>
  </si>
  <si>
    <t>Sub.WayGud</t>
  </si>
  <si>
    <t>SubOhm</t>
  </si>
  <si>
    <t>th4nos</t>
  </si>
  <si>
    <t>Valh</t>
  </si>
  <si>
    <t>Brazo</t>
  </si>
  <si>
    <t>Simone</t>
  </si>
  <si>
    <t>Stentaaa</t>
  </si>
  <si>
    <t>xbladze</t>
  </si>
  <si>
    <t>BigMc23</t>
  </si>
  <si>
    <t>HikariNoRob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</si>
</sst>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5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descending="1" ref="D1:D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AVERAGE(G2:M2)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Colonna11" dataDxfId="76"/>
    <tableColumn id="12" xr3:uid="{00000000-0010-0000-0000-00000C000000}" name="Colonna12" dataDxfId="75"/>
    <tableColumn id="13" xr3:uid="{00000000-0010-0000-0000-00000D000000}" name="Colonna13" dataDxfId="74"/>
    <tableColumn id="14" xr3:uid="{00000000-0010-0000-0000-00000E000000}" name="Colonna14" dataDxfId="73"/>
    <tableColumn id="15" xr3:uid="{00000000-0010-0000-0000-00000F000000}" name="Colonna15" dataDxfId="72"/>
    <tableColumn id="16" xr3:uid="{00000000-0010-0000-0000-000010000000}" name="Colonna16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0" width="9.140625" style="4" customWidth="1"/>
    <col min="31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topLeftCell="A15" workbookViewId="0">
      <selection activeCell="Z32" sqref="Z32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4" width="9.140625" style="39" customWidth="1"/>
    <col min="25" max="16384" width="9.140625" style="39"/>
  </cols>
  <sheetData>
    <row r="1" spans="1:23" ht="15.75" customHeight="1" thickBot="1" x14ac:dyDescent="0.3">
      <c r="B1" s="61"/>
      <c r="C1" s="90">
        <v>1</v>
      </c>
      <c r="D1" s="91"/>
      <c r="E1" s="92"/>
      <c r="F1" s="90">
        <v>2</v>
      </c>
      <c r="G1" s="91"/>
      <c r="H1" s="92"/>
      <c r="I1" s="90">
        <v>3</v>
      </c>
      <c r="J1" s="91"/>
      <c r="K1" s="92"/>
      <c r="L1" s="90">
        <v>4</v>
      </c>
      <c r="M1" s="91"/>
      <c r="N1" s="92"/>
      <c r="O1" s="90">
        <v>5</v>
      </c>
      <c r="P1" s="91"/>
      <c r="Q1" s="92"/>
      <c r="R1" s="90">
        <v>6</v>
      </c>
      <c r="S1" s="91"/>
      <c r="T1" s="92"/>
      <c r="U1" s="90">
        <v>7</v>
      </c>
      <c r="V1" s="91"/>
      <c r="W1" s="92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1" width="9.140625" style="68" customWidth="1"/>
    <col min="2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93" t="s">
        <v>57</v>
      </c>
      <c r="B32" s="91"/>
      <c r="C32" s="91"/>
      <c r="D32" s="91"/>
      <c r="E32" s="91"/>
      <c r="F32" s="91"/>
      <c r="G32" s="91"/>
      <c r="H32" s="92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tabSelected="1" workbookViewId="0">
      <selection activeCell="A30" sqref="A30:XFD30"/>
    </sheetView>
  </sheetViews>
  <sheetFormatPr defaultRowHeight="15" x14ac:dyDescent="0.25"/>
  <sheetData>
    <row r="1" spans="1:10" x14ac:dyDescent="0.25">
      <c r="A1">
        <v>16</v>
      </c>
      <c r="B1" t="s">
        <v>4</v>
      </c>
    </row>
    <row r="2" spans="1:10" x14ac:dyDescent="0.25">
      <c r="A2">
        <v>15</v>
      </c>
      <c r="B2" t="s">
        <v>41</v>
      </c>
    </row>
    <row r="3" spans="1:10" x14ac:dyDescent="0.25">
      <c r="A3">
        <v>15</v>
      </c>
      <c r="B3" t="s">
        <v>6</v>
      </c>
      <c r="I3">
        <v>13</v>
      </c>
      <c r="J3" t="s">
        <v>8</v>
      </c>
    </row>
    <row r="4" spans="1:10" x14ac:dyDescent="0.25">
      <c r="A4">
        <v>13</v>
      </c>
      <c r="B4" t="s">
        <v>10</v>
      </c>
      <c r="E4" t="s">
        <v>58</v>
      </c>
      <c r="I4">
        <v>13</v>
      </c>
      <c r="J4" t="s">
        <v>59</v>
      </c>
    </row>
    <row r="5" spans="1:10" x14ac:dyDescent="0.25">
      <c r="A5">
        <v>13</v>
      </c>
      <c r="B5" t="s">
        <v>12</v>
      </c>
      <c r="E5" t="s">
        <v>60</v>
      </c>
      <c r="I5">
        <v>13</v>
      </c>
      <c r="J5" t="s">
        <v>61</v>
      </c>
    </row>
    <row r="6" spans="1:10" x14ac:dyDescent="0.25">
      <c r="A6">
        <v>13</v>
      </c>
      <c r="B6" t="s">
        <v>42</v>
      </c>
      <c r="E6" t="s">
        <v>62</v>
      </c>
      <c r="I6">
        <v>12</v>
      </c>
      <c r="J6" t="s">
        <v>63</v>
      </c>
    </row>
    <row r="7" spans="1:10" x14ac:dyDescent="0.25">
      <c r="A7">
        <v>13</v>
      </c>
      <c r="B7" t="s">
        <v>7</v>
      </c>
      <c r="I7">
        <v>12</v>
      </c>
      <c r="J7" t="s">
        <v>64</v>
      </c>
    </row>
    <row r="8" spans="1:10" x14ac:dyDescent="0.25">
      <c r="A8">
        <v>13</v>
      </c>
      <c r="B8" t="s">
        <v>18</v>
      </c>
    </row>
    <row r="9" spans="1:10" x14ac:dyDescent="0.25">
      <c r="A9">
        <v>13</v>
      </c>
      <c r="B9" t="s">
        <v>52</v>
      </c>
      <c r="I9">
        <v>12</v>
      </c>
      <c r="J9" t="s">
        <v>65</v>
      </c>
    </row>
    <row r="10" spans="1:10" x14ac:dyDescent="0.25">
      <c r="A10">
        <v>13</v>
      </c>
      <c r="B10" t="s">
        <v>11</v>
      </c>
    </row>
    <row r="11" spans="1:10" x14ac:dyDescent="0.25">
      <c r="A11">
        <v>13</v>
      </c>
      <c r="B11" t="s">
        <v>20</v>
      </c>
      <c r="I11">
        <v>12</v>
      </c>
      <c r="J11" t="s">
        <v>23</v>
      </c>
    </row>
    <row r="12" spans="1:10" x14ac:dyDescent="0.25">
      <c r="A12">
        <v>12</v>
      </c>
      <c r="B12" t="s">
        <v>45</v>
      </c>
      <c r="I12">
        <v>12</v>
      </c>
      <c r="J12" t="s">
        <v>66</v>
      </c>
    </row>
    <row r="13" spans="1:10" x14ac:dyDescent="0.25">
      <c r="A13">
        <v>12</v>
      </c>
      <c r="B13" t="s">
        <v>47</v>
      </c>
      <c r="I13">
        <v>12</v>
      </c>
      <c r="J13" t="s">
        <v>67</v>
      </c>
    </row>
    <row r="14" spans="1:10" x14ac:dyDescent="0.25">
      <c r="A14">
        <v>12</v>
      </c>
      <c r="B14" t="s">
        <v>27</v>
      </c>
      <c r="I14">
        <v>12</v>
      </c>
      <c r="J14" t="s">
        <v>19</v>
      </c>
    </row>
    <row r="15" spans="1:10" x14ac:dyDescent="0.25">
      <c r="A15">
        <v>12</v>
      </c>
      <c r="B15" t="s">
        <v>68</v>
      </c>
      <c r="I15">
        <v>12</v>
      </c>
      <c r="J15" t="s">
        <v>69</v>
      </c>
    </row>
    <row r="16" spans="1:10" x14ac:dyDescent="0.25">
      <c r="A16">
        <v>12</v>
      </c>
      <c r="B16" t="s">
        <v>14</v>
      </c>
    </row>
    <row r="17" spans="1:10" x14ac:dyDescent="0.25">
      <c r="A17">
        <v>12</v>
      </c>
      <c r="B17" t="s">
        <v>13</v>
      </c>
      <c r="I17">
        <v>12</v>
      </c>
      <c r="J17" t="s">
        <v>70</v>
      </c>
    </row>
    <row r="18" spans="1:10" x14ac:dyDescent="0.25">
      <c r="A18">
        <v>12</v>
      </c>
      <c r="B18" t="s">
        <v>46</v>
      </c>
      <c r="I18">
        <v>11</v>
      </c>
      <c r="J18" t="s">
        <v>29</v>
      </c>
    </row>
    <row r="19" spans="1:10" x14ac:dyDescent="0.25">
      <c r="A19">
        <v>12</v>
      </c>
      <c r="B19" t="s">
        <v>17</v>
      </c>
      <c r="I19">
        <v>11</v>
      </c>
      <c r="J19" t="s">
        <v>34</v>
      </c>
    </row>
    <row r="20" spans="1:10" x14ac:dyDescent="0.25">
      <c r="A20">
        <v>12</v>
      </c>
      <c r="B20" t="s">
        <v>43</v>
      </c>
    </row>
    <row r="21" spans="1:10" x14ac:dyDescent="0.25">
      <c r="A21">
        <v>12</v>
      </c>
      <c r="B21" t="s">
        <v>50</v>
      </c>
    </row>
    <row r="22" spans="1:10" x14ac:dyDescent="0.25">
      <c r="A22">
        <v>12</v>
      </c>
      <c r="B22" t="s">
        <v>53</v>
      </c>
    </row>
    <row r="23" spans="1:10" x14ac:dyDescent="0.25">
      <c r="A23">
        <v>12</v>
      </c>
      <c r="B23" t="s">
        <v>48</v>
      </c>
    </row>
    <row r="24" spans="1:10" x14ac:dyDescent="0.25">
      <c r="A24">
        <v>12</v>
      </c>
      <c r="B24" t="s">
        <v>36</v>
      </c>
    </row>
    <row r="25" spans="1:10" x14ac:dyDescent="0.25">
      <c r="A25">
        <v>12</v>
      </c>
      <c r="B25" t="s">
        <v>32</v>
      </c>
    </row>
    <row r="26" spans="1:10" x14ac:dyDescent="0.25">
      <c r="A26">
        <v>12</v>
      </c>
      <c r="B26" t="s">
        <v>28</v>
      </c>
    </row>
    <row r="27" spans="1:10" x14ac:dyDescent="0.25">
      <c r="A27">
        <v>12</v>
      </c>
      <c r="B27" t="s">
        <v>51</v>
      </c>
    </row>
    <row r="28" spans="1:10" x14ac:dyDescent="0.25">
      <c r="A28">
        <v>12</v>
      </c>
      <c r="B28" t="s">
        <v>16</v>
      </c>
    </row>
    <row r="29" spans="1:10" x14ac:dyDescent="0.25">
      <c r="A29">
        <v>12</v>
      </c>
      <c r="B29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0"/>
  <sheetViews>
    <sheetView workbookViewId="0">
      <selection activeCell="D26" sqref="D26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8" width="9.140625" style="68" customWidth="1"/>
    <col min="89" max="16384" width="9.140625" style="68"/>
  </cols>
  <sheetData>
    <row r="1" spans="1:87" x14ac:dyDescent="0.25">
      <c r="A1" s="78" t="s">
        <v>71</v>
      </c>
      <c r="B1" s="80" t="s">
        <v>72</v>
      </c>
      <c r="C1" s="81" t="s">
        <v>73</v>
      </c>
      <c r="D1" s="80" t="s">
        <v>74</v>
      </c>
      <c r="E1" s="82" t="s">
        <v>75</v>
      </c>
      <c r="F1" s="81" t="s">
        <v>76</v>
      </c>
      <c r="G1" s="80" t="s">
        <v>77</v>
      </c>
      <c r="H1" s="81" t="s">
        <v>78</v>
      </c>
      <c r="I1" s="80" t="s">
        <v>79</v>
      </c>
      <c r="J1" s="81" t="s">
        <v>80</v>
      </c>
      <c r="K1" s="80" t="s">
        <v>81</v>
      </c>
      <c r="L1" s="81" t="s">
        <v>82</v>
      </c>
      <c r="M1" s="80" t="s">
        <v>83</v>
      </c>
      <c r="N1" s="81" t="s">
        <v>84</v>
      </c>
      <c r="O1" s="80" t="s">
        <v>85</v>
      </c>
      <c r="P1" s="81" t="s">
        <v>86</v>
      </c>
      <c r="Q1" s="80" t="s">
        <v>87</v>
      </c>
      <c r="R1" s="81" t="s">
        <v>88</v>
      </c>
      <c r="S1" s="80" t="s">
        <v>89</v>
      </c>
      <c r="T1" s="81" t="s">
        <v>90</v>
      </c>
      <c r="U1" s="80" t="s">
        <v>91</v>
      </c>
      <c r="V1" s="81" t="s">
        <v>92</v>
      </c>
      <c r="W1" s="68" t="s">
        <v>93</v>
      </c>
      <c r="X1" s="68" t="s">
        <v>94</v>
      </c>
      <c r="Y1" s="68" t="s">
        <v>95</v>
      </c>
      <c r="Z1" s="68" t="s">
        <v>96</v>
      </c>
      <c r="AA1" s="68" t="s">
        <v>97</v>
      </c>
      <c r="AB1" s="68" t="s">
        <v>98</v>
      </c>
      <c r="AC1" s="68" t="s">
        <v>99</v>
      </c>
      <c r="AD1" s="68" t="s">
        <v>100</v>
      </c>
      <c r="AE1" s="68" t="s">
        <v>101</v>
      </c>
      <c r="AF1" s="68" t="s">
        <v>102</v>
      </c>
      <c r="AG1" s="68" t="s">
        <v>103</v>
      </c>
      <c r="AH1" s="68" t="s">
        <v>104</v>
      </c>
      <c r="AI1" s="68" t="s">
        <v>105</v>
      </c>
      <c r="AJ1" s="68" t="s">
        <v>106</v>
      </c>
      <c r="AK1" s="68" t="s">
        <v>107</v>
      </c>
      <c r="AL1" s="68" t="s">
        <v>108</v>
      </c>
      <c r="AM1" s="68" t="s">
        <v>109</v>
      </c>
      <c r="AN1" s="68" t="s">
        <v>110</v>
      </c>
      <c r="AO1" s="68" t="s">
        <v>111</v>
      </c>
      <c r="AP1" s="68" t="s">
        <v>112</v>
      </c>
      <c r="AQ1" s="68" t="s">
        <v>113</v>
      </c>
      <c r="AR1" s="68" t="s">
        <v>114</v>
      </c>
      <c r="AS1" s="68" t="s">
        <v>115</v>
      </c>
      <c r="AT1" s="68" t="s">
        <v>116</v>
      </c>
      <c r="AU1" s="68" t="s">
        <v>117</v>
      </c>
      <c r="AV1" s="68" t="s">
        <v>118</v>
      </c>
      <c r="AW1" s="68" t="s">
        <v>119</v>
      </c>
      <c r="AX1" s="68" t="s">
        <v>120</v>
      </c>
      <c r="AY1" s="68" t="s">
        <v>121</v>
      </c>
      <c r="AZ1" s="68" t="s">
        <v>122</v>
      </c>
      <c r="BA1" s="68" t="s">
        <v>123</v>
      </c>
      <c r="BB1" s="68" t="s">
        <v>124</v>
      </c>
      <c r="BC1" s="68" t="s">
        <v>125</v>
      </c>
      <c r="BD1" s="68" t="s">
        <v>126</v>
      </c>
      <c r="BE1" s="68" t="s">
        <v>127</v>
      </c>
      <c r="BF1" s="68" t="s">
        <v>128</v>
      </c>
      <c r="BG1" s="68" t="s">
        <v>129</v>
      </c>
      <c r="BH1" s="68" t="s">
        <v>130</v>
      </c>
      <c r="BI1" s="68" t="s">
        <v>131</v>
      </c>
      <c r="BJ1" s="68" t="s">
        <v>132</v>
      </c>
      <c r="BK1" s="68" t="s">
        <v>133</v>
      </c>
      <c r="BL1" s="68" t="s">
        <v>134</v>
      </c>
      <c r="BM1" s="68" t="s">
        <v>135</v>
      </c>
      <c r="BN1" s="68" t="s">
        <v>136</v>
      </c>
      <c r="BO1" s="68" t="s">
        <v>137</v>
      </c>
      <c r="BP1" s="68" t="s">
        <v>138</v>
      </c>
      <c r="BQ1" s="68" t="s">
        <v>139</v>
      </c>
      <c r="BR1" s="68" t="s">
        <v>140</v>
      </c>
      <c r="BS1" s="68" t="s">
        <v>141</v>
      </c>
      <c r="BT1" s="68" t="s">
        <v>142</v>
      </c>
      <c r="BU1" s="68" t="s">
        <v>143</v>
      </c>
      <c r="BV1" s="68" t="s">
        <v>144</v>
      </c>
      <c r="BW1" s="68" t="s">
        <v>145</v>
      </c>
      <c r="BX1" s="68" t="s">
        <v>146</v>
      </c>
      <c r="BY1" s="68" t="s">
        <v>147</v>
      </c>
      <c r="BZ1" s="68" t="s">
        <v>148</v>
      </c>
      <c r="CA1" s="68" t="s">
        <v>149</v>
      </c>
      <c r="CB1" s="68" t="s">
        <v>150</v>
      </c>
      <c r="CC1" s="68" t="s">
        <v>151</v>
      </c>
      <c r="CD1" s="68" t="s">
        <v>152</v>
      </c>
      <c r="CE1" s="68" t="s">
        <v>153</v>
      </c>
      <c r="CF1" s="68" t="s">
        <v>154</v>
      </c>
      <c r="CG1" s="68" t="s">
        <v>155</v>
      </c>
      <c r="CH1" s="68" t="s">
        <v>156</v>
      </c>
      <c r="CI1" s="68" t="s">
        <v>157</v>
      </c>
    </row>
    <row r="2" spans="1:87" x14ac:dyDescent="0.25">
      <c r="A2" s="79" t="s">
        <v>159</v>
      </c>
      <c r="B2" s="83">
        <v>2</v>
      </c>
      <c r="C2" s="84">
        <v>1</v>
      </c>
      <c r="D2" s="83">
        <v>3</v>
      </c>
      <c r="E2" s="68">
        <f t="shared" ref="E2:E11" si="0">SUM(G2:L2)</f>
        <v>12</v>
      </c>
      <c r="F2" s="84">
        <f t="shared" ref="F2:F18" si="1">ROUND(AVERAGE(G2:L2),1)</f>
        <v>3</v>
      </c>
      <c r="G2" s="83" t="s">
        <v>158</v>
      </c>
      <c r="H2" s="84" t="s">
        <v>158</v>
      </c>
      <c r="I2" s="83">
        <v>3</v>
      </c>
      <c r="J2" s="84">
        <v>3</v>
      </c>
      <c r="K2" s="83">
        <v>3</v>
      </c>
      <c r="L2" s="84">
        <v>3</v>
      </c>
    </row>
    <row r="3" spans="1:87" x14ac:dyDescent="0.25">
      <c r="A3" s="79" t="s">
        <v>160</v>
      </c>
      <c r="B3" s="83">
        <v>4</v>
      </c>
      <c r="C3" s="84">
        <v>1</v>
      </c>
      <c r="D3" s="83">
        <v>3</v>
      </c>
      <c r="E3" s="68">
        <f t="shared" si="0"/>
        <v>2</v>
      </c>
      <c r="F3" s="84">
        <f t="shared" si="1"/>
        <v>1</v>
      </c>
      <c r="G3" s="83">
        <v>1</v>
      </c>
      <c r="H3" s="84" t="s">
        <v>158</v>
      </c>
      <c r="I3" s="83">
        <v>1</v>
      </c>
      <c r="J3" s="84" t="s">
        <v>158</v>
      </c>
      <c r="K3" s="68" t="s">
        <v>158</v>
      </c>
      <c r="L3" s="68" t="s">
        <v>158</v>
      </c>
    </row>
    <row r="4" spans="1:87" x14ac:dyDescent="0.25">
      <c r="A4" s="79" t="s">
        <v>190</v>
      </c>
      <c r="B4" s="83">
        <v>2</v>
      </c>
      <c r="C4" s="84">
        <v>1</v>
      </c>
      <c r="D4" s="83">
        <v>3</v>
      </c>
      <c r="E4" s="68">
        <f t="shared" si="0"/>
        <v>10</v>
      </c>
      <c r="F4" s="84">
        <f t="shared" si="1"/>
        <v>2.5</v>
      </c>
      <c r="G4" s="83">
        <v>2</v>
      </c>
      <c r="H4" s="84">
        <v>3</v>
      </c>
      <c r="I4" s="83">
        <v>2</v>
      </c>
      <c r="J4" s="84">
        <v>3</v>
      </c>
      <c r="K4" s="83" t="s">
        <v>158</v>
      </c>
      <c r="L4" s="84" t="s">
        <v>158</v>
      </c>
    </row>
    <row r="5" spans="1:87" x14ac:dyDescent="0.25">
      <c r="A5" s="79" t="s">
        <v>6</v>
      </c>
      <c r="B5" s="83">
        <v>0</v>
      </c>
      <c r="C5" s="84">
        <v>0</v>
      </c>
      <c r="D5" s="83">
        <v>3</v>
      </c>
      <c r="E5" s="68">
        <f t="shared" si="0"/>
        <v>16</v>
      </c>
      <c r="F5" s="84">
        <f t="shared" si="1"/>
        <v>2.7</v>
      </c>
      <c r="G5" s="83">
        <v>3</v>
      </c>
      <c r="H5" s="84">
        <v>3</v>
      </c>
      <c r="I5" s="83">
        <v>3</v>
      </c>
      <c r="J5" s="84">
        <v>2</v>
      </c>
      <c r="K5" s="68">
        <v>2</v>
      </c>
      <c r="L5" s="68">
        <v>3</v>
      </c>
    </row>
    <row r="6" spans="1:87" x14ac:dyDescent="0.25">
      <c r="A6" s="79" t="s">
        <v>10</v>
      </c>
      <c r="B6" s="83">
        <v>0</v>
      </c>
      <c r="C6" s="84">
        <v>0</v>
      </c>
      <c r="D6" s="83">
        <v>3</v>
      </c>
      <c r="E6" s="68">
        <f t="shared" si="0"/>
        <v>17</v>
      </c>
      <c r="F6" s="84">
        <f t="shared" si="1"/>
        <v>2.8</v>
      </c>
      <c r="G6" s="83">
        <v>3</v>
      </c>
      <c r="H6" s="84">
        <v>3</v>
      </c>
      <c r="I6" s="83">
        <v>2</v>
      </c>
      <c r="J6" s="84">
        <v>3</v>
      </c>
      <c r="K6" s="83">
        <v>3</v>
      </c>
      <c r="L6" s="84">
        <v>3</v>
      </c>
    </row>
    <row r="7" spans="1:87" x14ac:dyDescent="0.25">
      <c r="A7" s="79" t="s">
        <v>189</v>
      </c>
      <c r="B7" s="83">
        <v>0</v>
      </c>
      <c r="C7" s="84">
        <v>0</v>
      </c>
      <c r="D7" s="83">
        <v>3</v>
      </c>
      <c r="E7" s="68">
        <f t="shared" si="0"/>
        <v>12</v>
      </c>
      <c r="F7" s="84">
        <f t="shared" si="1"/>
        <v>2</v>
      </c>
      <c r="G7" s="83">
        <v>2</v>
      </c>
      <c r="H7" s="84">
        <v>3</v>
      </c>
      <c r="I7" s="83">
        <v>1</v>
      </c>
      <c r="J7" s="84">
        <v>1</v>
      </c>
      <c r="K7" s="83">
        <v>3</v>
      </c>
      <c r="L7" s="84">
        <v>2</v>
      </c>
    </row>
    <row r="8" spans="1:87" x14ac:dyDescent="0.25">
      <c r="A8" s="79" t="s">
        <v>22</v>
      </c>
      <c r="B8" s="83">
        <v>0</v>
      </c>
      <c r="C8" s="84">
        <v>0</v>
      </c>
      <c r="D8" s="83">
        <v>3</v>
      </c>
      <c r="E8" s="68">
        <f t="shared" si="0"/>
        <v>14</v>
      </c>
      <c r="F8" s="84">
        <f t="shared" si="1"/>
        <v>2.2999999999999998</v>
      </c>
      <c r="G8" s="83">
        <v>1</v>
      </c>
      <c r="H8" s="84">
        <v>3</v>
      </c>
      <c r="I8" s="83">
        <v>3</v>
      </c>
      <c r="J8" s="84">
        <v>3</v>
      </c>
      <c r="K8" s="68">
        <v>1</v>
      </c>
      <c r="L8" s="68">
        <v>3</v>
      </c>
    </row>
    <row r="9" spans="1:87" x14ac:dyDescent="0.25">
      <c r="A9" s="79" t="s">
        <v>191</v>
      </c>
      <c r="B9" s="83">
        <v>0</v>
      </c>
      <c r="C9" s="84">
        <v>0</v>
      </c>
      <c r="D9" s="83">
        <v>3</v>
      </c>
      <c r="E9" s="68">
        <f t="shared" si="0"/>
        <v>6</v>
      </c>
      <c r="F9" s="84">
        <f t="shared" si="1"/>
        <v>1</v>
      </c>
      <c r="G9" s="83">
        <v>2</v>
      </c>
      <c r="H9" s="84">
        <v>1</v>
      </c>
      <c r="I9" s="83">
        <v>0</v>
      </c>
      <c r="J9" s="84">
        <v>0</v>
      </c>
      <c r="K9" s="83">
        <v>2</v>
      </c>
      <c r="L9" s="84">
        <v>1</v>
      </c>
    </row>
    <row r="10" spans="1:87" x14ac:dyDescent="0.25">
      <c r="A10" s="79" t="s">
        <v>163</v>
      </c>
      <c r="B10" s="83">
        <v>1</v>
      </c>
      <c r="C10" s="84">
        <v>1</v>
      </c>
      <c r="D10" s="83">
        <v>2</v>
      </c>
      <c r="E10" s="68">
        <f t="shared" si="0"/>
        <v>6</v>
      </c>
      <c r="F10" s="84">
        <f t="shared" si="1"/>
        <v>3</v>
      </c>
      <c r="I10" s="83" t="s">
        <v>158</v>
      </c>
      <c r="J10" s="84" t="s">
        <v>158</v>
      </c>
      <c r="K10" s="83">
        <v>3</v>
      </c>
      <c r="L10" s="84">
        <v>3</v>
      </c>
    </row>
    <row r="11" spans="1:87" x14ac:dyDescent="0.25">
      <c r="A11" s="79" t="s">
        <v>174</v>
      </c>
      <c r="B11" s="83">
        <v>0</v>
      </c>
      <c r="C11" s="84">
        <v>0</v>
      </c>
      <c r="D11" s="83">
        <v>2</v>
      </c>
      <c r="E11" s="68">
        <f t="shared" si="0"/>
        <v>10</v>
      </c>
      <c r="F11" s="84">
        <f t="shared" si="1"/>
        <v>2.5</v>
      </c>
      <c r="I11" s="83">
        <v>3</v>
      </c>
      <c r="J11" s="84">
        <v>1</v>
      </c>
      <c r="K11" s="68">
        <v>3</v>
      </c>
      <c r="L11" s="68">
        <v>3</v>
      </c>
    </row>
    <row r="12" spans="1:87" x14ac:dyDescent="0.25">
      <c r="A12" s="79" t="s">
        <v>188</v>
      </c>
      <c r="B12" s="83">
        <v>0</v>
      </c>
      <c r="C12" s="84">
        <v>0</v>
      </c>
      <c r="D12" s="83">
        <v>2</v>
      </c>
      <c r="E12" s="68">
        <f>SUM(G13:M13)</f>
        <v>10</v>
      </c>
      <c r="F12" s="84">
        <f t="shared" si="1"/>
        <v>2.8</v>
      </c>
      <c r="G12" s="83">
        <v>3</v>
      </c>
      <c r="H12" s="84">
        <v>3</v>
      </c>
      <c r="I12" s="83">
        <v>2</v>
      </c>
      <c r="J12" s="84">
        <v>3</v>
      </c>
    </row>
    <row r="13" spans="1:87" x14ac:dyDescent="0.25">
      <c r="A13" s="79" t="s">
        <v>58</v>
      </c>
      <c r="B13" s="83">
        <v>0</v>
      </c>
      <c r="C13" s="84">
        <v>0</v>
      </c>
      <c r="D13" s="83">
        <v>2</v>
      </c>
      <c r="E13" s="68">
        <f>SUM(G14:M14)</f>
        <v>7</v>
      </c>
      <c r="F13" s="84">
        <f t="shared" si="1"/>
        <v>2.5</v>
      </c>
      <c r="G13" s="83">
        <v>3</v>
      </c>
      <c r="H13" s="84">
        <v>1</v>
      </c>
      <c r="I13" s="83">
        <v>3</v>
      </c>
      <c r="J13" s="84">
        <v>3</v>
      </c>
    </row>
    <row r="14" spans="1:87" x14ac:dyDescent="0.25">
      <c r="A14" s="79" t="s">
        <v>59</v>
      </c>
      <c r="B14" s="83">
        <v>0</v>
      </c>
      <c r="C14" s="84">
        <v>0</v>
      </c>
      <c r="D14" s="83">
        <v>2</v>
      </c>
      <c r="E14" s="68">
        <f>SUM(G15:M15)</f>
        <v>9</v>
      </c>
      <c r="F14" s="84">
        <f t="shared" si="1"/>
        <v>1.8</v>
      </c>
      <c r="G14" s="83">
        <v>1</v>
      </c>
      <c r="H14" s="84">
        <v>2</v>
      </c>
      <c r="I14" s="83">
        <v>1</v>
      </c>
      <c r="J14" s="84">
        <v>3</v>
      </c>
    </row>
    <row r="15" spans="1:87" x14ac:dyDescent="0.25">
      <c r="A15" s="79" t="s">
        <v>192</v>
      </c>
      <c r="B15" s="83">
        <v>0</v>
      </c>
      <c r="C15" s="84">
        <v>0</v>
      </c>
      <c r="D15" s="83">
        <v>2</v>
      </c>
      <c r="E15" s="68">
        <f>SUM(G16:M16)</f>
        <v>10</v>
      </c>
      <c r="F15" s="84">
        <f t="shared" si="1"/>
        <v>2.2999999999999998</v>
      </c>
      <c r="G15" s="83">
        <v>1</v>
      </c>
      <c r="H15" s="84">
        <v>2</v>
      </c>
      <c r="I15" s="83">
        <v>3</v>
      </c>
      <c r="J15" s="84">
        <v>3</v>
      </c>
    </row>
    <row r="16" spans="1:87" x14ac:dyDescent="0.25">
      <c r="A16" s="79" t="s">
        <v>20</v>
      </c>
      <c r="B16" s="83">
        <v>0</v>
      </c>
      <c r="C16" s="84">
        <v>0</v>
      </c>
      <c r="D16" s="83">
        <v>2</v>
      </c>
      <c r="E16" s="68">
        <f>SUM(G16:L16)</f>
        <v>10</v>
      </c>
      <c r="F16" s="84">
        <f t="shared" si="1"/>
        <v>2.5</v>
      </c>
      <c r="G16" s="83">
        <v>3</v>
      </c>
      <c r="H16" s="84">
        <v>3</v>
      </c>
      <c r="K16" s="83">
        <v>2</v>
      </c>
      <c r="L16" s="84">
        <v>2</v>
      </c>
    </row>
    <row r="17" spans="1:12" x14ac:dyDescent="0.25">
      <c r="A17" s="79" t="s">
        <v>179</v>
      </c>
      <c r="B17" s="83">
        <v>2</v>
      </c>
      <c r="C17" s="84">
        <v>1</v>
      </c>
      <c r="D17" s="83">
        <v>1</v>
      </c>
      <c r="E17" s="68">
        <f>SUM(G17:L17)</f>
        <v>0</v>
      </c>
      <c r="F17" s="84" t="e">
        <f t="shared" si="1"/>
        <v>#DIV/0!</v>
      </c>
      <c r="K17" s="83" t="s">
        <v>158</v>
      </c>
      <c r="L17" s="84" t="s">
        <v>158</v>
      </c>
    </row>
    <row r="18" spans="1:12" x14ac:dyDescent="0.25">
      <c r="A18" s="79" t="s">
        <v>186</v>
      </c>
      <c r="B18" s="83">
        <v>2</v>
      </c>
      <c r="C18" s="84">
        <v>1</v>
      </c>
      <c r="D18" s="83">
        <v>1</v>
      </c>
      <c r="E18" s="68">
        <f>SUM(G18:L18)</f>
        <v>0</v>
      </c>
      <c r="F18" s="84" t="e">
        <f t="shared" si="1"/>
        <v>#DIV/0!</v>
      </c>
      <c r="K18" s="83" t="s">
        <v>158</v>
      </c>
      <c r="L18" s="84" t="s">
        <v>158</v>
      </c>
    </row>
    <row r="19" spans="1:12" x14ac:dyDescent="0.25">
      <c r="A19" s="79" t="s">
        <v>70</v>
      </c>
      <c r="B19" s="83">
        <v>2</v>
      </c>
      <c r="C19" s="84">
        <v>1</v>
      </c>
      <c r="D19" s="83">
        <v>1</v>
      </c>
      <c r="E19" s="68">
        <f>SUM(G19:M19)</f>
        <v>0</v>
      </c>
      <c r="F19" s="84" t="e">
        <f>AVERAGE(G19:M19)</f>
        <v>#DIV/0!</v>
      </c>
      <c r="I19" s="83" t="s">
        <v>158</v>
      </c>
      <c r="J19" s="84" t="s">
        <v>158</v>
      </c>
    </row>
    <row r="20" spans="1:12" x14ac:dyDescent="0.25">
      <c r="A20" s="79" t="s">
        <v>43</v>
      </c>
      <c r="B20" s="83">
        <v>2</v>
      </c>
      <c r="C20" s="84">
        <v>1</v>
      </c>
      <c r="D20" s="83">
        <v>1</v>
      </c>
      <c r="E20" s="68">
        <f>SUM(G20:M20)</f>
        <v>0</v>
      </c>
      <c r="F20" s="84" t="e">
        <f t="shared" ref="F20:F50" si="2">ROUND(AVERAGE(G20:L20),1)</f>
        <v>#DIV/0!</v>
      </c>
      <c r="G20" s="83" t="s">
        <v>158</v>
      </c>
      <c r="H20" s="84" t="s">
        <v>158</v>
      </c>
      <c r="K20" s="68"/>
      <c r="L20" s="68"/>
    </row>
    <row r="21" spans="1:12" x14ac:dyDescent="0.25">
      <c r="A21" s="79" t="s">
        <v>161</v>
      </c>
      <c r="B21" s="83">
        <v>1</v>
      </c>
      <c r="C21" s="84">
        <v>0</v>
      </c>
      <c r="D21" s="83">
        <v>1</v>
      </c>
      <c r="E21" s="68">
        <f>SUM(G21:M21)</f>
        <v>2</v>
      </c>
      <c r="F21" s="84">
        <f t="shared" si="2"/>
        <v>2</v>
      </c>
      <c r="I21" s="83">
        <v>2</v>
      </c>
      <c r="J21" s="84" t="s">
        <v>158</v>
      </c>
    </row>
    <row r="22" spans="1:12" x14ac:dyDescent="0.25">
      <c r="A22" s="79" t="s">
        <v>162</v>
      </c>
      <c r="B22" s="83">
        <v>1</v>
      </c>
      <c r="C22" s="84">
        <v>0</v>
      </c>
      <c r="D22" s="83">
        <v>1</v>
      </c>
      <c r="E22" s="68">
        <f>SUM(G22:M22)</f>
        <v>2</v>
      </c>
      <c r="F22" s="84">
        <f t="shared" si="2"/>
        <v>2</v>
      </c>
      <c r="I22" s="83">
        <v>2</v>
      </c>
      <c r="J22" s="84" t="s">
        <v>158</v>
      </c>
    </row>
    <row r="23" spans="1:12" x14ac:dyDescent="0.25">
      <c r="A23" s="79" t="s">
        <v>60</v>
      </c>
      <c r="B23" s="83">
        <v>0</v>
      </c>
      <c r="C23" s="84">
        <v>0</v>
      </c>
      <c r="D23" s="83">
        <v>1</v>
      </c>
      <c r="E23" s="68">
        <f>SUM(G23:M23)</f>
        <v>3</v>
      </c>
      <c r="F23" s="84">
        <f t="shared" si="2"/>
        <v>1.5</v>
      </c>
      <c r="I23" s="83">
        <v>2</v>
      </c>
      <c r="J23" s="84">
        <v>1</v>
      </c>
    </row>
    <row r="24" spans="1:12" x14ac:dyDescent="0.25">
      <c r="A24" s="79" t="s">
        <v>165</v>
      </c>
      <c r="B24" s="83">
        <v>0</v>
      </c>
      <c r="C24" s="84">
        <v>0</v>
      </c>
      <c r="D24" s="83">
        <v>1</v>
      </c>
      <c r="E24" s="68">
        <f>SUM(G24:L24)</f>
        <v>6</v>
      </c>
      <c r="F24" s="84">
        <f t="shared" si="2"/>
        <v>3</v>
      </c>
      <c r="K24" s="83">
        <v>3</v>
      </c>
      <c r="L24" s="84">
        <v>3</v>
      </c>
    </row>
    <row r="25" spans="1:12" x14ac:dyDescent="0.25">
      <c r="A25" s="79" t="s">
        <v>170</v>
      </c>
      <c r="B25" s="83">
        <v>0</v>
      </c>
      <c r="C25" s="84">
        <v>0</v>
      </c>
      <c r="D25" s="83">
        <v>1</v>
      </c>
      <c r="E25" s="68">
        <f>SUM(G25:M25)</f>
        <v>4</v>
      </c>
      <c r="F25" s="84">
        <f t="shared" si="2"/>
        <v>2</v>
      </c>
      <c r="I25" s="83">
        <v>3</v>
      </c>
      <c r="J25" s="84">
        <v>1</v>
      </c>
    </row>
    <row r="26" spans="1:12" x14ac:dyDescent="0.25">
      <c r="A26" s="79" t="s">
        <v>45</v>
      </c>
      <c r="B26" s="83">
        <v>0</v>
      </c>
      <c r="C26" s="84">
        <v>0</v>
      </c>
      <c r="D26" s="83">
        <v>1</v>
      </c>
      <c r="E26" s="68">
        <f>SUM(G26:M26)</f>
        <v>6</v>
      </c>
      <c r="F26" s="84">
        <f t="shared" si="2"/>
        <v>3</v>
      </c>
      <c r="I26" s="83">
        <v>3</v>
      </c>
      <c r="J26" s="84">
        <v>3</v>
      </c>
    </row>
    <row r="27" spans="1:12" x14ac:dyDescent="0.25">
      <c r="A27" s="79" t="s">
        <v>47</v>
      </c>
      <c r="B27" s="83">
        <v>0</v>
      </c>
      <c r="C27" s="84">
        <v>0</v>
      </c>
      <c r="D27" s="83">
        <v>1</v>
      </c>
      <c r="E27" s="68">
        <f>SUM(G27:L27)</f>
        <v>2</v>
      </c>
      <c r="F27" s="84">
        <f t="shared" si="2"/>
        <v>1</v>
      </c>
      <c r="K27" s="83">
        <v>1</v>
      </c>
      <c r="L27" s="84">
        <v>1</v>
      </c>
    </row>
    <row r="28" spans="1:12" x14ac:dyDescent="0.25">
      <c r="A28" s="79" t="s">
        <v>187</v>
      </c>
      <c r="B28" s="83">
        <v>0</v>
      </c>
      <c r="C28" s="84">
        <v>0</v>
      </c>
      <c r="D28" s="83">
        <v>1</v>
      </c>
      <c r="E28" s="68">
        <f>SUM(G29:M29)</f>
        <v>0</v>
      </c>
      <c r="F28" s="84">
        <f t="shared" si="2"/>
        <v>3</v>
      </c>
      <c r="G28" s="83">
        <v>3</v>
      </c>
      <c r="H28" s="84">
        <v>3</v>
      </c>
    </row>
    <row r="29" spans="1:12" x14ac:dyDescent="0.25">
      <c r="A29" s="79" t="s">
        <v>164</v>
      </c>
      <c r="B29" s="83">
        <v>0</v>
      </c>
      <c r="C29" s="84">
        <v>0</v>
      </c>
      <c r="D29" s="83">
        <v>0</v>
      </c>
      <c r="E29" s="68">
        <f t="shared" ref="E29:E50" si="3">SUM(G29:M29)</f>
        <v>0</v>
      </c>
      <c r="F29" s="84" t="e">
        <f t="shared" si="2"/>
        <v>#DIV/0!</v>
      </c>
    </row>
    <row r="30" spans="1:12" x14ac:dyDescent="0.25">
      <c r="A30" s="79" t="s">
        <v>166</v>
      </c>
      <c r="B30" s="83">
        <v>0</v>
      </c>
      <c r="C30" s="84">
        <v>0</v>
      </c>
      <c r="D30" s="83">
        <v>0</v>
      </c>
      <c r="E30" s="68">
        <f t="shared" si="3"/>
        <v>0</v>
      </c>
      <c r="F30" s="84" t="e">
        <f t="shared" si="2"/>
        <v>#DIV/0!</v>
      </c>
      <c r="K30" s="68"/>
      <c r="L30" s="68"/>
    </row>
    <row r="31" spans="1:12" x14ac:dyDescent="0.25">
      <c r="A31" s="79" t="s">
        <v>167</v>
      </c>
      <c r="B31" s="83">
        <v>0</v>
      </c>
      <c r="C31" s="84">
        <v>0</v>
      </c>
      <c r="D31" s="83">
        <v>0</v>
      </c>
      <c r="E31" s="68">
        <f t="shared" si="3"/>
        <v>0</v>
      </c>
      <c r="F31" s="84" t="e">
        <f t="shared" si="2"/>
        <v>#DIV/0!</v>
      </c>
    </row>
    <row r="32" spans="1:12" x14ac:dyDescent="0.25">
      <c r="A32" s="79" t="s">
        <v>168</v>
      </c>
      <c r="B32" s="83">
        <v>0</v>
      </c>
      <c r="C32" s="84">
        <v>0</v>
      </c>
      <c r="D32" s="83">
        <v>0</v>
      </c>
      <c r="E32" s="68">
        <f t="shared" si="3"/>
        <v>0</v>
      </c>
      <c r="F32" s="84" t="e">
        <f t="shared" si="2"/>
        <v>#DIV/0!</v>
      </c>
    </row>
    <row r="33" spans="1:12" x14ac:dyDescent="0.25">
      <c r="A33" s="79" t="s">
        <v>169</v>
      </c>
      <c r="B33" s="83">
        <v>0</v>
      </c>
      <c r="C33" s="84">
        <v>0</v>
      </c>
      <c r="D33" s="83">
        <v>0</v>
      </c>
      <c r="E33" s="68">
        <f t="shared" si="3"/>
        <v>0</v>
      </c>
      <c r="F33" s="84" t="e">
        <f t="shared" si="2"/>
        <v>#DIV/0!</v>
      </c>
    </row>
    <row r="34" spans="1:12" x14ac:dyDescent="0.25">
      <c r="A34" s="79" t="s">
        <v>171</v>
      </c>
      <c r="B34" s="83">
        <v>0</v>
      </c>
      <c r="C34" s="84">
        <v>0</v>
      </c>
      <c r="D34" s="83">
        <v>0</v>
      </c>
      <c r="E34" s="68">
        <f t="shared" si="3"/>
        <v>0</v>
      </c>
      <c r="F34" s="84" t="e">
        <f t="shared" si="2"/>
        <v>#DIV/0!</v>
      </c>
      <c r="K34" s="68"/>
      <c r="L34" s="68"/>
    </row>
    <row r="35" spans="1:12" x14ac:dyDescent="0.25">
      <c r="A35" s="79" t="s">
        <v>172</v>
      </c>
      <c r="B35" s="83">
        <v>0</v>
      </c>
      <c r="C35" s="84">
        <v>0</v>
      </c>
      <c r="D35" s="83">
        <v>0</v>
      </c>
      <c r="E35" s="68">
        <f t="shared" si="3"/>
        <v>0</v>
      </c>
      <c r="F35" s="84" t="e">
        <f t="shared" si="2"/>
        <v>#DIV/0!</v>
      </c>
    </row>
    <row r="36" spans="1:12" x14ac:dyDescent="0.25">
      <c r="A36" s="79" t="s">
        <v>173</v>
      </c>
      <c r="B36" s="83">
        <v>0</v>
      </c>
      <c r="C36" s="84">
        <v>0</v>
      </c>
      <c r="D36" s="83">
        <v>0</v>
      </c>
      <c r="E36" s="68">
        <f t="shared" si="3"/>
        <v>0</v>
      </c>
      <c r="F36" s="84" t="e">
        <f t="shared" si="2"/>
        <v>#DIV/0!</v>
      </c>
    </row>
    <row r="37" spans="1:12" x14ac:dyDescent="0.25">
      <c r="A37" s="79" t="s">
        <v>16</v>
      </c>
      <c r="B37" s="83">
        <v>0</v>
      </c>
      <c r="C37" s="84">
        <v>0</v>
      </c>
      <c r="D37" s="83">
        <v>0</v>
      </c>
      <c r="E37" s="68">
        <f t="shared" si="3"/>
        <v>0</v>
      </c>
      <c r="F37" s="84" t="e">
        <f t="shared" si="2"/>
        <v>#DIV/0!</v>
      </c>
    </row>
    <row r="38" spans="1:12" x14ac:dyDescent="0.25">
      <c r="A38" s="79" t="s">
        <v>175</v>
      </c>
      <c r="B38" s="83">
        <v>0</v>
      </c>
      <c r="C38" s="84">
        <v>0</v>
      </c>
      <c r="D38" s="83">
        <v>0</v>
      </c>
      <c r="E38" s="68">
        <f t="shared" si="3"/>
        <v>0</v>
      </c>
      <c r="F38" s="84" t="e">
        <f t="shared" si="2"/>
        <v>#DIV/0!</v>
      </c>
      <c r="K38" s="68"/>
      <c r="L38" s="68"/>
    </row>
    <row r="39" spans="1:12" x14ac:dyDescent="0.25">
      <c r="A39" s="79" t="s">
        <v>176</v>
      </c>
      <c r="B39" s="83">
        <v>0</v>
      </c>
      <c r="C39" s="84">
        <v>0</v>
      </c>
      <c r="D39" s="83">
        <v>0</v>
      </c>
      <c r="E39" s="68">
        <f t="shared" si="3"/>
        <v>0</v>
      </c>
      <c r="F39" s="84" t="e">
        <f t="shared" si="2"/>
        <v>#DIV/0!</v>
      </c>
    </row>
    <row r="40" spans="1:12" x14ac:dyDescent="0.25">
      <c r="A40" s="79" t="s">
        <v>13</v>
      </c>
      <c r="B40" s="83">
        <v>0</v>
      </c>
      <c r="C40" s="84">
        <v>0</v>
      </c>
      <c r="D40" s="83">
        <v>0</v>
      </c>
      <c r="E40" s="68">
        <f t="shared" si="3"/>
        <v>0</v>
      </c>
      <c r="F40" s="84" t="e">
        <f t="shared" si="2"/>
        <v>#DIV/0!</v>
      </c>
      <c r="K40" s="68"/>
      <c r="L40" s="68"/>
    </row>
    <row r="41" spans="1:12" x14ac:dyDescent="0.25">
      <c r="A41" s="79" t="s">
        <v>8</v>
      </c>
      <c r="B41" s="83">
        <v>0</v>
      </c>
      <c r="C41" s="84">
        <v>0</v>
      </c>
      <c r="D41" s="83">
        <v>0</v>
      </c>
      <c r="E41" s="68">
        <f t="shared" si="3"/>
        <v>0</v>
      </c>
      <c r="F41" s="84" t="e">
        <f t="shared" si="2"/>
        <v>#DIV/0!</v>
      </c>
      <c r="K41" s="68"/>
      <c r="L41" s="68"/>
    </row>
    <row r="42" spans="1:12" x14ac:dyDescent="0.25">
      <c r="A42" s="79" t="s">
        <v>41</v>
      </c>
      <c r="B42" s="83">
        <v>0</v>
      </c>
      <c r="C42" s="84">
        <v>0</v>
      </c>
      <c r="D42" s="83">
        <v>0</v>
      </c>
      <c r="E42" s="68">
        <f t="shared" si="3"/>
        <v>0</v>
      </c>
      <c r="F42" s="84" t="e">
        <f t="shared" si="2"/>
        <v>#DIV/0!</v>
      </c>
      <c r="K42" s="68"/>
      <c r="L42" s="68"/>
    </row>
    <row r="43" spans="1:12" x14ac:dyDescent="0.25">
      <c r="A43" s="79" t="s">
        <v>177</v>
      </c>
      <c r="B43" s="83">
        <v>0</v>
      </c>
      <c r="C43" s="84">
        <v>0</v>
      </c>
      <c r="D43" s="83">
        <v>0</v>
      </c>
      <c r="E43" s="68">
        <f t="shared" si="3"/>
        <v>0</v>
      </c>
      <c r="F43" s="84" t="e">
        <f t="shared" si="2"/>
        <v>#DIV/0!</v>
      </c>
    </row>
    <row r="44" spans="1:12" x14ac:dyDescent="0.25">
      <c r="A44" s="79" t="s">
        <v>178</v>
      </c>
      <c r="B44" s="83">
        <v>0</v>
      </c>
      <c r="C44" s="84">
        <v>0</v>
      </c>
      <c r="D44" s="83">
        <v>0</v>
      </c>
      <c r="E44" s="68">
        <f t="shared" si="3"/>
        <v>0</v>
      </c>
      <c r="F44" s="84" t="e">
        <f t="shared" si="2"/>
        <v>#DIV/0!</v>
      </c>
      <c r="K44" s="68"/>
      <c r="L44" s="68"/>
    </row>
    <row r="45" spans="1:12" x14ac:dyDescent="0.25">
      <c r="A45" s="79" t="s">
        <v>180</v>
      </c>
      <c r="B45" s="83">
        <v>0</v>
      </c>
      <c r="C45" s="84">
        <v>0</v>
      </c>
      <c r="D45" s="83">
        <v>0</v>
      </c>
      <c r="E45" s="68">
        <f t="shared" si="3"/>
        <v>0</v>
      </c>
      <c r="F45" s="84" t="e">
        <f t="shared" si="2"/>
        <v>#DIV/0!</v>
      </c>
      <c r="K45" s="68"/>
      <c r="L45" s="68"/>
    </row>
    <row r="46" spans="1:12" x14ac:dyDescent="0.25">
      <c r="A46" s="79" t="s">
        <v>181</v>
      </c>
      <c r="B46" s="83">
        <v>0</v>
      </c>
      <c r="C46" s="84">
        <v>0</v>
      </c>
      <c r="D46" s="83">
        <v>0</v>
      </c>
      <c r="E46" s="68">
        <f t="shared" si="3"/>
        <v>0</v>
      </c>
      <c r="F46" s="84" t="e">
        <f t="shared" si="2"/>
        <v>#DIV/0!</v>
      </c>
    </row>
    <row r="47" spans="1:12" x14ac:dyDescent="0.25">
      <c r="A47" s="79" t="s">
        <v>182</v>
      </c>
      <c r="B47" s="83">
        <v>0</v>
      </c>
      <c r="C47" s="84">
        <v>0</v>
      </c>
      <c r="D47" s="83">
        <v>0</v>
      </c>
      <c r="E47" s="68">
        <f t="shared" si="3"/>
        <v>0</v>
      </c>
      <c r="F47" s="84" t="e">
        <f t="shared" si="2"/>
        <v>#DIV/0!</v>
      </c>
      <c r="K47" s="68"/>
      <c r="L47" s="68"/>
    </row>
    <row r="48" spans="1:12" x14ac:dyDescent="0.25">
      <c r="A48" s="79" t="s">
        <v>183</v>
      </c>
      <c r="B48" s="83">
        <v>0</v>
      </c>
      <c r="C48" s="84">
        <v>0</v>
      </c>
      <c r="D48" s="83">
        <v>0</v>
      </c>
      <c r="E48" s="68">
        <f t="shared" si="3"/>
        <v>0</v>
      </c>
      <c r="F48" s="84" t="e">
        <f t="shared" si="2"/>
        <v>#DIV/0!</v>
      </c>
      <c r="K48" s="68"/>
      <c r="L48" s="68"/>
    </row>
    <row r="49" spans="1:6" x14ac:dyDescent="0.25">
      <c r="A49" s="79" t="s">
        <v>184</v>
      </c>
      <c r="B49" s="83">
        <v>0</v>
      </c>
      <c r="C49" s="84">
        <v>0</v>
      </c>
      <c r="D49" s="83">
        <v>0</v>
      </c>
      <c r="E49" s="68">
        <f t="shared" si="3"/>
        <v>0</v>
      </c>
      <c r="F49" s="84" t="e">
        <f t="shared" si="2"/>
        <v>#DIV/0!</v>
      </c>
    </row>
    <row r="50" spans="1:6" x14ac:dyDescent="0.25">
      <c r="A50" s="79" t="s">
        <v>185</v>
      </c>
      <c r="B50" s="83">
        <v>0</v>
      </c>
      <c r="C50" s="84">
        <v>0</v>
      </c>
      <c r="D50" s="83">
        <v>0</v>
      </c>
      <c r="E50" s="68">
        <f t="shared" si="3"/>
        <v>0</v>
      </c>
      <c r="F50" s="84" t="e">
        <f t="shared" si="2"/>
        <v>#DIV/0!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CBE3-C116-4081-AAF5-C23DF0AE4E41}">
  <dimension ref="A1:C17"/>
  <sheetViews>
    <sheetView workbookViewId="0">
      <selection activeCell="F11" sqref="F11"/>
    </sheetView>
  </sheetViews>
  <sheetFormatPr defaultRowHeight="15" x14ac:dyDescent="0.25"/>
  <sheetData>
    <row r="1" spans="1:3" x14ac:dyDescent="0.25">
      <c r="A1" s="85" t="s">
        <v>164</v>
      </c>
      <c r="B1" s="79" t="s">
        <v>164</v>
      </c>
      <c r="C1" s="79" t="s">
        <v>164</v>
      </c>
    </row>
    <row r="2" spans="1:3" x14ac:dyDescent="0.25">
      <c r="A2" s="85" t="s">
        <v>167</v>
      </c>
      <c r="B2" s="88" t="s">
        <v>167</v>
      </c>
      <c r="C2" s="79" t="s">
        <v>167</v>
      </c>
    </row>
    <row r="3" spans="1:3" x14ac:dyDescent="0.25">
      <c r="A3" s="86"/>
      <c r="B3" s="88"/>
      <c r="C3" s="88"/>
    </row>
    <row r="4" spans="1:3" x14ac:dyDescent="0.25">
      <c r="A4" s="87" t="s">
        <v>175</v>
      </c>
      <c r="B4" s="89" t="s">
        <v>175</v>
      </c>
      <c r="C4" s="88" t="s">
        <v>175</v>
      </c>
    </row>
    <row r="5" spans="1:3" x14ac:dyDescent="0.25">
      <c r="A5" s="87" t="s">
        <v>8</v>
      </c>
      <c r="B5" s="89" t="s">
        <v>8</v>
      </c>
      <c r="C5" s="79" t="s">
        <v>8</v>
      </c>
    </row>
    <row r="6" spans="1:3" x14ac:dyDescent="0.25">
      <c r="A6" s="86" t="s">
        <v>177</v>
      </c>
      <c r="B6" s="88" t="s">
        <v>177</v>
      </c>
      <c r="C6" s="79" t="s">
        <v>177</v>
      </c>
    </row>
    <row r="7" spans="1:3" x14ac:dyDescent="0.25">
      <c r="A7" s="87" t="s">
        <v>178</v>
      </c>
      <c r="B7" s="89" t="s">
        <v>178</v>
      </c>
      <c r="C7" s="88" t="s">
        <v>178</v>
      </c>
    </row>
    <row r="8" spans="1:3" x14ac:dyDescent="0.25">
      <c r="A8" s="87"/>
      <c r="B8" s="88"/>
      <c r="C8" s="79"/>
    </row>
    <row r="9" spans="1:3" x14ac:dyDescent="0.25">
      <c r="A9" s="85" t="s">
        <v>182</v>
      </c>
      <c r="B9" s="79" t="s">
        <v>182</v>
      </c>
      <c r="C9" s="79" t="s">
        <v>182</v>
      </c>
    </row>
    <row r="10" spans="1:3" x14ac:dyDescent="0.25">
      <c r="A10" s="87" t="s">
        <v>183</v>
      </c>
      <c r="B10" s="89" t="s">
        <v>183</v>
      </c>
      <c r="C10" s="88" t="s">
        <v>183</v>
      </c>
    </row>
    <row r="11" spans="1:3" x14ac:dyDescent="0.25">
      <c r="A11" s="87"/>
      <c r="B11" s="88" t="s">
        <v>184</v>
      </c>
      <c r="C11" s="79" t="s">
        <v>184</v>
      </c>
    </row>
    <row r="12" spans="1:3" x14ac:dyDescent="0.25">
      <c r="A12" s="85" t="s">
        <v>186</v>
      </c>
      <c r="B12" s="79" t="s">
        <v>186</v>
      </c>
    </row>
    <row r="13" spans="1:3" x14ac:dyDescent="0.25">
      <c r="A13" s="85"/>
      <c r="B13" s="79"/>
      <c r="C13" s="88"/>
    </row>
    <row r="14" spans="1:3" x14ac:dyDescent="0.25">
      <c r="A14" s="85"/>
      <c r="B14" s="88"/>
      <c r="C14" s="79"/>
    </row>
    <row r="15" spans="1:3" x14ac:dyDescent="0.25">
      <c r="A15" s="86"/>
      <c r="B15" s="88"/>
      <c r="C15" s="88"/>
    </row>
    <row r="16" spans="1:3" x14ac:dyDescent="0.25">
      <c r="C16" s="88"/>
    </row>
    <row r="17" spans="3:3" x14ac:dyDescent="0.25">
      <c r="C17" s="88"/>
    </row>
  </sheetData>
  <sortState xmlns:xlrd2="http://schemas.microsoft.com/office/spreadsheetml/2017/richdata2" ref="C1:C22">
    <sortCondition ref="C1:C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avv</vt:lpstr>
      <vt:lpstr>partecipanti</vt:lpstr>
      <vt:lpstr>wars</vt:lpstr>
      <vt:lpstr>inatttivi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2025-12-27T15:18:47Z</dcterms:modified>
</cp:coreProperties>
</file>