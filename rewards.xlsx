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4FB12B87-E09E-4F54-8D10-EA25D217D26C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WL 1" sheetId="1" r:id="rId1"/>
    <sheet name="CWL 2" sheetId="2" r:id="rId2"/>
    <sheet name="CWL 3" sheetId="3" r:id="rId3"/>
    <sheet name="avv" sheetId="4" r:id="rId4"/>
    <sheet name="partecipanti" sheetId="5" r:id="rId5"/>
    <sheet name="wars" sheetId="6" r:id="rId6"/>
  </sheets>
  <definedNames>
    <definedName name="_xlnm._FilterDatabase" localSheetId="5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6" l="1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<sst xmlns="http://schemas.openxmlformats.org/spreadsheetml/2006/main" count="482" uniqueCount="226">
  <si>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</si>
  <si>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</si>
  <si>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</si>
  <si>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</si>
  <si>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</si>
  <si>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</si>
  <si>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</si>
  <si>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</si>
  <si>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</si>
  <si>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</si>
  <si>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</si>
  <si>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</si>
  <si>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</si>
  <si>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</si>
  <si>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</si>
  <si>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</si>
  <si>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</si>
  <si>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</si>
  <si>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</si>
  <si>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</si>
  <si>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</si>
  <si>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</si>
  <si>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</si>
  <si>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</si>
  <si>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</si>
  <si>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</si>
  <si>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</si>
  <si>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</si>
  <si>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</si>
  <si>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</si>
  <si>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</si>
  <si>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</si>
  <si>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</si>
  <si>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</si>
  <si>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</si>
  <si>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</si>
  <si>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</si>
  <si>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</si>
  <si>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</si>
  <si>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</si>
  <si>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</si>
  <si>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</si>
  <si>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</si>
  <si>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</si>
  <si>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</si>
  <si>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</si>
  <si>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</si>
  <si>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</si>
  <si>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</si>
  <si>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</si>
  <si>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</si>
  <si>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</si>
  <si>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</si>
  <si>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</si>
  <si>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</si>
  <si>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</si>
  <si>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</si>
  <si>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</si>
  <si>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</si>
  <si>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</si>
  <si>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</si>
  <si>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</si>
  <si>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</si>
  <si>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</si>
  <si>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</si>
  <si>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</si>
  <si>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</si>
  <si>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</si>
  <si>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</si>
  <si>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</si>
  <si>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</si>
  <si>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</si>
  <si>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</si>
  <si>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</si>
  <si>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</si>
  <si>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</si>
  <si>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</si>
  <si>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</si>
  <si>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</si>
  <si>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</si>
  <si>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</si>
  <si>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</si>
  <si>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</si>
  <si>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</si>
  <si>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</si>
  <si>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</si>
  <si>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</si>
  <si>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</si>
  <si>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</si>
  <si>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</si>
  <si>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</si>
  <si>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</si>
  <si>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</si>
  <si>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</si>
  <si>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>Dado</t>
  </si>
  <si>
    <t>Ale22</t>
  </si>
  <si>
    <t>Chabby</t>
  </si>
  <si>
    <t>dela</t>
  </si>
  <si>
    <t>Cleopatra</t>
  </si>
  <si>
    <t>edododo</t>
  </si>
  <si>
    <t>nik</t>
  </si>
  <si>
    <t>Giosan</t>
  </si>
  <si>
    <t>buff x bow</t>
  </si>
  <si>
    <t>christian</t>
  </si>
  <si>
    <t>Leo</t>
  </si>
  <si>
    <t>Giorgio</t>
  </si>
  <si>
    <t>king</t>
  </si>
  <si>
    <t>fabio</t>
  </si>
  <si>
    <t>Loris</t>
  </si>
  <si>
    <t>daniele</t>
  </si>
  <si>
    <t>Omar</t>
  </si>
  <si>
    <t>serra</t>
  </si>
  <si>
    <t>federico99</t>
  </si>
  <si>
    <t>Robby</t>
  </si>
  <si>
    <t>sidcu js</t>
  </si>
  <si>
    <t>lord pucci</t>
  </si>
  <si>
    <t>zine</t>
  </si>
  <si>
    <t>danielpica</t>
  </si>
  <si>
    <t>Staenta</t>
  </si>
  <si>
    <t>loris</t>
  </si>
  <si>
    <t>subohm</t>
  </si>
  <si>
    <t>Xblade</t>
  </si>
  <si>
    <t>xnullx</t>
  </si>
  <si>
    <t>queen of shadow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</si>
  <si>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</si>
  <si>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</si>
  <si>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</si>
  <si>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</si>
  <si>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</si>
  <si>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</si>
  <si>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</si>
  <si>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</si>
  <si>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</si>
  <si>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</si>
  <si>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</si>
  <si>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</si>
  <si>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</si>
  <si>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</si>
  <si>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</si>
  <si>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</si>
  <si>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</si>
  <si>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</si>
  <si>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</si>
  <si>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</si>
  <si>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</si>
  <si>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</si>
  <si>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</si>
  <si>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</si>
  <si>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</si>
  <si>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</si>
  <si>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</si>
  <si>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</si>
  <si>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</si>
  <si>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</si>
  <si>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</si>
  <si>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</si>
  <si>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</si>
  <si>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</si>
  <si>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</si>
  <si>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</si>
  <si>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</si>
  <si>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</si>
  <si>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</si>
  <si>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</si>
  <si>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</si>
  <si>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</si>
  <si>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</si>
  <si>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</si>
  <si>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</si>
  <si>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</si>
  <si>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</si>
  <si>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</si>
  <si>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</si>
  <si>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</si>
  <si>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</si>
  <si>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</si>
  <si>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</si>
  <si>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</si>
  <si>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</si>
  <si>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</si>
  <si>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</si>
  <si>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</si>
  <si>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</si>
  <si>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</si>
  <si>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</si>
  <si>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</si>
  <si>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</si>
  <si>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</si>
  <si>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</si>
  <si>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</si>
  <si>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</si>
  <si>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</si>
  <si>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</si>
  <si>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</si>
  <si>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</si>
  <si>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</si>
  <si>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</si>
  <si>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</si>
  <si>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</si>
  <si>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</si>
  <si>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</si>
  <si>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</si>
  <si>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</si>
  <si>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</si>
  <si>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</si>
  <si>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</si>
  <si>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</si>
  <si>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</si>
  <si>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</si>
  <si>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</si>
  <si>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</si>
  <si>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</si>
  <si>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</si>
  <si>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</si>
  <si>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revolver</t>
  </si>
  <si>
    <t>BigMc23</t>
  </si>
  <si>
    <t>buff x-bow</t>
  </si>
  <si>
    <t>EdoDodo</t>
  </si>
  <si>
    <t>Stentaaa</t>
  </si>
  <si>
    <t>andriu07</t>
  </si>
  <si>
    <t>zordan</t>
  </si>
  <si>
    <t>655321</t>
  </si>
  <si>
    <t>★deimon★</t>
  </si>
  <si>
    <t>Punpie69</t>
  </si>
  <si>
    <t>tazio</t>
  </si>
  <si>
    <t>alhfmfh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</si>
</sst>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15" borderId="11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2" width="9.140625" style="4" customWidth="1"/>
    <col min="33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6" width="9.140625" style="39" customWidth="1"/>
    <col min="27" max="16384" width="9.140625" style="39"/>
  </cols>
  <sheetData>
    <row r="1" spans="1:23" ht="15.75" customHeight="1" thickBot="1" x14ac:dyDescent="0.3">
      <c r="B1" s="61"/>
      <c r="C1" s="117">
        <v>1</v>
      </c>
      <c r="D1" s="118"/>
      <c r="E1" s="119"/>
      <c r="F1" s="117">
        <v>2</v>
      </c>
      <c r="G1" s="118"/>
      <c r="H1" s="119"/>
      <c r="I1" s="117">
        <v>3</v>
      </c>
      <c r="J1" s="118"/>
      <c r="K1" s="119"/>
      <c r="L1" s="117">
        <v>4</v>
      </c>
      <c r="M1" s="118"/>
      <c r="N1" s="119"/>
      <c r="O1" s="117">
        <v>5</v>
      </c>
      <c r="P1" s="118"/>
      <c r="Q1" s="119"/>
      <c r="R1" s="117">
        <v>6</v>
      </c>
      <c r="S1" s="118"/>
      <c r="T1" s="119"/>
      <c r="U1" s="117">
        <v>7</v>
      </c>
      <c r="V1" s="118"/>
      <c r="W1" s="119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B11" sqref="B11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17">
        <v>1</v>
      </c>
      <c r="D1" s="118"/>
      <c r="E1" s="119"/>
      <c r="F1" s="117">
        <v>2</v>
      </c>
      <c r="G1" s="118"/>
      <c r="H1" s="119"/>
      <c r="I1" s="117">
        <v>3</v>
      </c>
      <c r="J1" s="118"/>
      <c r="K1" s="119"/>
      <c r="L1" s="117">
        <v>4</v>
      </c>
      <c r="M1" s="118"/>
      <c r="N1" s="119"/>
      <c r="O1" s="117">
        <v>5</v>
      </c>
      <c r="P1" s="118"/>
      <c r="Q1" s="119"/>
      <c r="R1" s="117">
        <v>6</v>
      </c>
      <c r="S1" s="118"/>
      <c r="T1" s="119"/>
      <c r="U1" s="117">
        <v>7</v>
      </c>
      <c r="V1" s="118"/>
      <c r="W1" s="119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3" width="9.140625" style="68" customWidth="1"/>
    <col min="4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0" t="s">
        <v>91</v>
      </c>
      <c r="B32" s="118"/>
      <c r="C32" s="118"/>
      <c r="D32" s="118"/>
      <c r="E32" s="118"/>
      <c r="F32" s="118"/>
      <c r="G32" s="118"/>
      <c r="H32" s="119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92</v>
      </c>
      <c r="S1" t="s">
        <v>80</v>
      </c>
      <c r="X1" s="78" t="s">
        <v>93</v>
      </c>
    </row>
    <row r="2" spans="1:24" x14ac:dyDescent="0.25">
      <c r="A2">
        <v>15</v>
      </c>
      <c r="B2" t="s">
        <v>41</v>
      </c>
      <c r="R2" t="s">
        <v>92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92</v>
      </c>
      <c r="S3" t="s">
        <v>94</v>
      </c>
      <c r="W3" s="81" t="s">
        <v>82</v>
      </c>
      <c r="X3" s="78" t="s">
        <v>95</v>
      </c>
    </row>
    <row r="4" spans="1:24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R4" t="s">
        <v>92</v>
      </c>
      <c r="S4" t="s">
        <v>27</v>
      </c>
      <c r="W4" s="78" t="s">
        <v>96</v>
      </c>
    </row>
    <row r="5" spans="1:24" x14ac:dyDescent="0.25">
      <c r="A5">
        <v>13</v>
      </c>
      <c r="B5" t="s">
        <v>12</v>
      </c>
      <c r="E5" t="s">
        <v>80</v>
      </c>
      <c r="I5">
        <v>13</v>
      </c>
      <c r="J5" t="s">
        <v>97</v>
      </c>
      <c r="R5" t="s">
        <v>92</v>
      </c>
      <c r="S5" t="s">
        <v>61</v>
      </c>
      <c r="W5" s="81" t="s">
        <v>98</v>
      </c>
    </row>
    <row r="6" spans="1:24" x14ac:dyDescent="0.25">
      <c r="A6">
        <v>13</v>
      </c>
      <c r="B6" t="s">
        <v>42</v>
      </c>
      <c r="E6" t="s">
        <v>99</v>
      </c>
      <c r="I6">
        <v>12</v>
      </c>
      <c r="J6" t="s">
        <v>100</v>
      </c>
      <c r="R6" t="s">
        <v>92</v>
      </c>
      <c r="S6" t="s">
        <v>101</v>
      </c>
      <c r="W6" s="81" t="s">
        <v>71</v>
      </c>
    </row>
    <row r="7" spans="1:24" x14ac:dyDescent="0.25">
      <c r="A7">
        <v>13</v>
      </c>
      <c r="B7" t="s">
        <v>7</v>
      </c>
      <c r="I7">
        <v>12</v>
      </c>
      <c r="J7" t="s">
        <v>102</v>
      </c>
      <c r="R7" t="s">
        <v>92</v>
      </c>
      <c r="S7" t="s">
        <v>16</v>
      </c>
      <c r="W7" s="81" t="s">
        <v>84</v>
      </c>
    </row>
    <row r="8" spans="1:24" x14ac:dyDescent="0.25">
      <c r="A8">
        <v>13</v>
      </c>
      <c r="B8" t="s">
        <v>18</v>
      </c>
      <c r="R8" t="s">
        <v>92</v>
      </c>
      <c r="S8" t="s">
        <v>17</v>
      </c>
      <c r="W8" s="78" t="s">
        <v>83</v>
      </c>
    </row>
    <row r="9" spans="1:24" x14ac:dyDescent="0.25">
      <c r="A9">
        <v>13</v>
      </c>
      <c r="B9" t="s">
        <v>52</v>
      </c>
      <c r="I9">
        <v>12</v>
      </c>
      <c r="J9" t="s">
        <v>103</v>
      </c>
      <c r="R9" t="s">
        <v>92</v>
      </c>
      <c r="S9" t="s">
        <v>104</v>
      </c>
      <c r="W9" s="78" t="s">
        <v>69</v>
      </c>
    </row>
    <row r="10" spans="1:24" x14ac:dyDescent="0.25">
      <c r="A10">
        <v>13</v>
      </c>
      <c r="B10" t="s">
        <v>11</v>
      </c>
      <c r="R10" t="s">
        <v>92</v>
      </c>
      <c r="S10" t="s">
        <v>64</v>
      </c>
      <c r="W10" s="78" t="s">
        <v>105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92</v>
      </c>
      <c r="S11" t="s">
        <v>73</v>
      </c>
      <c r="W11" s="81" t="s">
        <v>106</v>
      </c>
    </row>
    <row r="12" spans="1:24" x14ac:dyDescent="0.25">
      <c r="A12">
        <v>12</v>
      </c>
      <c r="B12" t="s">
        <v>45</v>
      </c>
      <c r="I12">
        <v>12</v>
      </c>
      <c r="J12" t="s">
        <v>107</v>
      </c>
      <c r="R12" t="s">
        <v>92</v>
      </c>
      <c r="S12" t="s">
        <v>76</v>
      </c>
      <c r="W12" s="81" t="s">
        <v>108</v>
      </c>
    </row>
    <row r="13" spans="1:24" x14ac:dyDescent="0.25">
      <c r="A13">
        <v>12</v>
      </c>
      <c r="B13" t="s">
        <v>47</v>
      </c>
      <c r="I13">
        <v>12</v>
      </c>
      <c r="J13" t="s">
        <v>109</v>
      </c>
      <c r="R13" t="s">
        <v>92</v>
      </c>
      <c r="S13" t="s">
        <v>110</v>
      </c>
      <c r="W13" s="78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92</v>
      </c>
      <c r="S14" t="s">
        <v>10</v>
      </c>
      <c r="W14" s="81" t="s">
        <v>65</v>
      </c>
    </row>
    <row r="15" spans="1:24" x14ac:dyDescent="0.25">
      <c r="A15">
        <v>12</v>
      </c>
      <c r="B15" t="s">
        <v>111</v>
      </c>
      <c r="I15">
        <v>12</v>
      </c>
      <c r="J15" t="s">
        <v>112</v>
      </c>
      <c r="R15" t="s">
        <v>92</v>
      </c>
      <c r="S15" t="s">
        <v>45</v>
      </c>
      <c r="W15" s="81" t="s">
        <v>86</v>
      </c>
    </row>
    <row r="16" spans="1:24" x14ac:dyDescent="0.25">
      <c r="A16">
        <v>12</v>
      </c>
      <c r="B16" t="s">
        <v>14</v>
      </c>
      <c r="R16" t="s">
        <v>92</v>
      </c>
      <c r="S16" t="s">
        <v>113</v>
      </c>
      <c r="W16" s="78" t="s">
        <v>114</v>
      </c>
    </row>
    <row r="17" spans="1:23" x14ac:dyDescent="0.25">
      <c r="A17">
        <v>12</v>
      </c>
      <c r="B17" t="s">
        <v>13</v>
      </c>
      <c r="I17">
        <v>12</v>
      </c>
      <c r="J17" t="s">
        <v>115</v>
      </c>
      <c r="R17" t="s">
        <v>92</v>
      </c>
      <c r="S17" t="s">
        <v>22</v>
      </c>
      <c r="W17" s="81" t="s">
        <v>116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92</v>
      </c>
      <c r="S18" t="s">
        <v>77</v>
      </c>
      <c r="W18" s="78" t="s">
        <v>117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92</v>
      </c>
      <c r="S19" t="s">
        <v>118</v>
      </c>
      <c r="W19" s="81" t="s">
        <v>119</v>
      </c>
    </row>
    <row r="20" spans="1:23" x14ac:dyDescent="0.25">
      <c r="A20">
        <v>12</v>
      </c>
      <c r="B20" t="s">
        <v>43</v>
      </c>
      <c r="R20" t="s">
        <v>92</v>
      </c>
      <c r="S20" t="s">
        <v>120</v>
      </c>
      <c r="W20" s="78"/>
    </row>
    <row r="21" spans="1:23" x14ac:dyDescent="0.25">
      <c r="A21">
        <v>12</v>
      </c>
      <c r="B21" t="s">
        <v>50</v>
      </c>
      <c r="R21" t="s">
        <v>92</v>
      </c>
      <c r="S21" t="s">
        <v>32</v>
      </c>
      <c r="W21" s="81"/>
    </row>
    <row r="22" spans="1:23" x14ac:dyDescent="0.25">
      <c r="A22">
        <v>12</v>
      </c>
      <c r="B22" t="s">
        <v>53</v>
      </c>
      <c r="R22" t="s">
        <v>92</v>
      </c>
      <c r="S22" t="s">
        <v>62</v>
      </c>
      <c r="W22" s="78"/>
    </row>
    <row r="23" spans="1:23" x14ac:dyDescent="0.25">
      <c r="A23">
        <v>12</v>
      </c>
      <c r="B23" t="s">
        <v>48</v>
      </c>
      <c r="R23" t="s">
        <v>92</v>
      </c>
      <c r="S23" t="s">
        <v>121</v>
      </c>
      <c r="W23" s="78"/>
    </row>
    <row r="24" spans="1:23" x14ac:dyDescent="0.25">
      <c r="A24">
        <v>12</v>
      </c>
      <c r="B24" t="s">
        <v>36</v>
      </c>
      <c r="R24" t="s">
        <v>92</v>
      </c>
      <c r="S24" t="s">
        <v>122</v>
      </c>
      <c r="W24" s="78"/>
    </row>
    <row r="25" spans="1:23" x14ac:dyDescent="0.25">
      <c r="A25">
        <v>12</v>
      </c>
      <c r="B25" t="s">
        <v>32</v>
      </c>
      <c r="R25" t="s">
        <v>92</v>
      </c>
      <c r="S25" t="s">
        <v>43</v>
      </c>
      <c r="W25" s="81"/>
    </row>
    <row r="26" spans="1:23" x14ac:dyDescent="0.25">
      <c r="A26">
        <v>12</v>
      </c>
      <c r="B26" t="s">
        <v>28</v>
      </c>
      <c r="R26" t="s">
        <v>92</v>
      </c>
      <c r="S26" t="s">
        <v>123</v>
      </c>
      <c r="W26" s="81"/>
    </row>
    <row r="27" spans="1:23" x14ac:dyDescent="0.25">
      <c r="A27">
        <v>12</v>
      </c>
      <c r="B27" t="s">
        <v>51</v>
      </c>
      <c r="R27" t="s">
        <v>92</v>
      </c>
      <c r="S27" t="s">
        <v>47</v>
      </c>
      <c r="W27" s="81"/>
    </row>
    <row r="28" spans="1:23" x14ac:dyDescent="0.25">
      <c r="A28">
        <v>12</v>
      </c>
      <c r="B28" t="s">
        <v>16</v>
      </c>
      <c r="R28" t="s">
        <v>92</v>
      </c>
      <c r="S28" t="s">
        <v>124</v>
      </c>
      <c r="W28" s="81"/>
    </row>
    <row r="29" spans="1:23" x14ac:dyDescent="0.25">
      <c r="A29">
        <v>12</v>
      </c>
      <c r="B29" t="s">
        <v>24</v>
      </c>
      <c r="R29" t="s">
        <v>125</v>
      </c>
      <c r="S29" s="81" t="s">
        <v>66</v>
      </c>
      <c r="W29" s="78"/>
    </row>
    <row r="30" spans="1:23" x14ac:dyDescent="0.25">
      <c r="W30" s="78"/>
    </row>
    <row r="31" spans="1:23" x14ac:dyDescent="0.25">
      <c r="W31" s="78"/>
    </row>
    <row r="32" spans="1:23" x14ac:dyDescent="0.25">
      <c r="W32" s="81"/>
    </row>
    <row r="33" spans="23:23" x14ac:dyDescent="0.25">
      <c r="W33" s="81"/>
    </row>
    <row r="34" spans="23:23" x14ac:dyDescent="0.25">
      <c r="W34" s="78"/>
    </row>
    <row r="35" spans="23:23" x14ac:dyDescent="0.25">
      <c r="W35" s="81"/>
    </row>
    <row r="36" spans="23:23" x14ac:dyDescent="0.25">
      <c r="W36" s="78"/>
    </row>
    <row r="37" spans="23:23" x14ac:dyDescent="0.25">
      <c r="W37" s="78"/>
    </row>
    <row r="38" spans="23:23" x14ac:dyDescent="0.25">
      <c r="W38" s="81"/>
    </row>
    <row r="39" spans="23:23" x14ac:dyDescent="0.25">
      <c r="W39" s="78"/>
    </row>
    <row r="40" spans="23:23" x14ac:dyDescent="0.25">
      <c r="W40" s="78"/>
    </row>
    <row r="41" spans="23:23" x14ac:dyDescent="0.25">
      <c r="W41" s="81"/>
    </row>
    <row r="42" spans="23:23" x14ac:dyDescent="0.25">
      <c r="W42" s="78"/>
    </row>
    <row r="43" spans="23:23" x14ac:dyDescent="0.25">
      <c r="W43" s="81"/>
    </row>
    <row r="44" spans="23:23" x14ac:dyDescent="0.25">
      <c r="W44" s="78"/>
    </row>
    <row r="45" spans="23:23" x14ac:dyDescent="0.25">
      <c r="W45" s="81"/>
    </row>
    <row r="46" spans="23:23" x14ac:dyDescent="0.25">
      <c r="W46" s="81"/>
    </row>
    <row r="47" spans="23:23" x14ac:dyDescent="0.25">
      <c r="W47" s="78"/>
    </row>
    <row r="48" spans="23:23" x14ac:dyDescent="0.25">
      <c r="W48" s="81"/>
    </row>
    <row r="49" spans="23:23" ht="15.75" customHeight="1" thickBot="1" x14ac:dyDescent="0.3">
      <c r="W49" s="8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I45"/>
  <sheetViews>
    <sheetView tabSelected="1" topLeftCell="A3" workbookViewId="0">
      <selection activeCell="A57" sqref="A57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80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87" width="12.5703125" style="68" customWidth="1"/>
    <col min="88" max="90" width="9.140625" style="68" customWidth="1"/>
    <col min="91" max="16384" width="9.140625" style="68"/>
  </cols>
  <sheetData>
    <row r="1" spans="1:87" ht="15.75" thickBot="1" x14ac:dyDescent="0.3">
      <c r="A1" s="107" t="s">
        <v>126</v>
      </c>
      <c r="B1" s="107" t="s">
        <v>127</v>
      </c>
      <c r="C1" s="108" t="s">
        <v>128</v>
      </c>
      <c r="D1" s="107" t="s">
        <v>129</v>
      </c>
      <c r="E1" s="108" t="s">
        <v>130</v>
      </c>
      <c r="F1" s="108" t="s">
        <v>131</v>
      </c>
      <c r="G1" s="107" t="s">
        <v>132</v>
      </c>
      <c r="H1" s="108" t="s">
        <v>133</v>
      </c>
      <c r="I1" s="107" t="s">
        <v>134</v>
      </c>
      <c r="J1" s="108" t="s">
        <v>135</v>
      </c>
      <c r="K1" s="107" t="s">
        <v>136</v>
      </c>
      <c r="L1" s="108" t="s">
        <v>137</v>
      </c>
      <c r="M1" s="107" t="s">
        <v>138</v>
      </c>
      <c r="N1" s="108" t="s">
        <v>139</v>
      </c>
      <c r="O1" s="107" t="s">
        <v>140</v>
      </c>
      <c r="P1" s="108" t="s">
        <v>141</v>
      </c>
      <c r="Q1" s="107" t="s">
        <v>142</v>
      </c>
      <c r="R1" s="108" t="s">
        <v>143</v>
      </c>
      <c r="S1" s="107" t="s">
        <v>144</v>
      </c>
      <c r="T1" s="108" t="s">
        <v>145</v>
      </c>
      <c r="U1" s="107" t="s">
        <v>146</v>
      </c>
      <c r="V1" s="108" t="s">
        <v>147</v>
      </c>
      <c r="W1" s="107" t="s">
        <v>148</v>
      </c>
      <c r="X1" s="108" t="s">
        <v>149</v>
      </c>
      <c r="Y1" s="107" t="s">
        <v>150</v>
      </c>
      <c r="Z1" s="108" t="s">
        <v>151</v>
      </c>
      <c r="AA1" s="107" t="s">
        <v>152</v>
      </c>
      <c r="AB1" s="108" t="s">
        <v>153</v>
      </c>
      <c r="AC1" s="109" t="s">
        <v>154</v>
      </c>
      <c r="AD1" s="110" t="s">
        <v>155</v>
      </c>
      <c r="AE1" s="110" t="s">
        <v>156</v>
      </c>
      <c r="AF1" s="110" t="s">
        <v>157</v>
      </c>
      <c r="AG1" s="110" t="s">
        <v>158</v>
      </c>
      <c r="AH1" s="110" t="s">
        <v>159</v>
      </c>
      <c r="AI1" s="110" t="s">
        <v>160</v>
      </c>
      <c r="AJ1" s="110" t="s">
        <v>161</v>
      </c>
      <c r="AK1" s="110" t="s">
        <v>162</v>
      </c>
      <c r="AL1" s="110" t="s">
        <v>163</v>
      </c>
      <c r="AM1" s="110" t="s">
        <v>164</v>
      </c>
      <c r="AN1" s="110" t="s">
        <v>165</v>
      </c>
      <c r="AO1" s="110" t="s">
        <v>166</v>
      </c>
      <c r="AP1" s="110" t="s">
        <v>167</v>
      </c>
      <c r="AQ1" s="110" t="s">
        <v>168</v>
      </c>
      <c r="AR1" s="110" t="s">
        <v>169</v>
      </c>
      <c r="AS1" s="110" t="s">
        <v>170</v>
      </c>
      <c r="AT1" s="110" t="s">
        <v>171</v>
      </c>
      <c r="AU1" s="110" t="s">
        <v>172</v>
      </c>
      <c r="AV1" s="110" t="s">
        <v>173</v>
      </c>
      <c r="AW1" s="110" t="s">
        <v>174</v>
      </c>
      <c r="AX1" s="110" t="s">
        <v>175</v>
      </c>
      <c r="AY1" s="110" t="s">
        <v>176</v>
      </c>
      <c r="AZ1" s="110" t="s">
        <v>177</v>
      </c>
      <c r="BA1" s="110" t="s">
        <v>178</v>
      </c>
      <c r="BB1" s="110" t="s">
        <v>179</v>
      </c>
      <c r="BC1" s="110" t="s">
        <v>180</v>
      </c>
      <c r="BD1" s="110" t="s">
        <v>181</v>
      </c>
      <c r="BE1" s="110" t="s">
        <v>182</v>
      </c>
      <c r="BF1" s="110" t="s">
        <v>183</v>
      </c>
      <c r="BG1" s="110" t="s">
        <v>184</v>
      </c>
      <c r="BH1" s="110" t="s">
        <v>185</v>
      </c>
      <c r="BI1" s="110" t="s">
        <v>186</v>
      </c>
      <c r="BJ1" s="110" t="s">
        <v>187</v>
      </c>
      <c r="BK1" s="110" t="s">
        <v>188</v>
      </c>
      <c r="BL1" s="110" t="s">
        <v>189</v>
      </c>
      <c r="BM1" s="110" t="s">
        <v>190</v>
      </c>
      <c r="BN1" s="110" t="s">
        <v>191</v>
      </c>
      <c r="BO1" s="110" t="s">
        <v>192</v>
      </c>
      <c r="BP1" s="110" t="s">
        <v>193</v>
      </c>
      <c r="BQ1" s="110" t="s">
        <v>194</v>
      </c>
      <c r="BR1" s="110" t="s">
        <v>195</v>
      </c>
      <c r="BS1" s="110" t="s">
        <v>196</v>
      </c>
      <c r="BT1" s="110" t="s">
        <v>197</v>
      </c>
      <c r="BU1" s="110" t="s">
        <v>198</v>
      </c>
      <c r="BV1" s="110" t="s">
        <v>199</v>
      </c>
      <c r="BW1" s="110" t="s">
        <v>200</v>
      </c>
      <c r="BX1" s="110" t="s">
        <v>201</v>
      </c>
      <c r="BY1" s="110" t="s">
        <v>202</v>
      </c>
      <c r="BZ1" s="110" t="s">
        <v>203</v>
      </c>
      <c r="CA1" s="110" t="s">
        <v>204</v>
      </c>
      <c r="CB1" s="110" t="s">
        <v>205</v>
      </c>
      <c r="CC1" s="110" t="s">
        <v>206</v>
      </c>
      <c r="CD1" s="110" t="s">
        <v>207</v>
      </c>
      <c r="CE1" s="110" t="s">
        <v>208</v>
      </c>
      <c r="CF1" s="110" t="s">
        <v>209</v>
      </c>
      <c r="CG1" s="110" t="s">
        <v>210</v>
      </c>
      <c r="CH1" s="110" t="s">
        <v>211</v>
      </c>
      <c r="CI1" s="110" t="s">
        <v>212</v>
      </c>
    </row>
    <row r="2" spans="1:87" x14ac:dyDescent="0.25">
      <c r="A2" s="111" t="s">
        <v>71</v>
      </c>
      <c r="B2" s="111">
        <v>3</v>
      </c>
      <c r="C2" s="112">
        <v>1</v>
      </c>
      <c r="D2" s="111">
        <v>3</v>
      </c>
      <c r="E2" s="112">
        <f t="shared" ref="E2:E45" si="0">SUM(G2:V2)</f>
        <v>4</v>
      </c>
      <c r="F2" s="112">
        <f t="shared" ref="F2:F45" si="1">ROUND(AVERAGE(G2:V2),1)</f>
        <v>1.3</v>
      </c>
      <c r="G2" s="111"/>
      <c r="H2" s="112"/>
      <c r="I2" s="111">
        <v>2</v>
      </c>
      <c r="J2" s="112" t="s">
        <v>213</v>
      </c>
      <c r="K2" s="111"/>
      <c r="L2" s="112"/>
      <c r="M2" s="111"/>
      <c r="N2" s="112"/>
      <c r="O2" s="111" t="s">
        <v>213</v>
      </c>
      <c r="P2" s="112" t="s">
        <v>213</v>
      </c>
      <c r="Q2" s="111"/>
      <c r="R2" s="112"/>
      <c r="S2" s="111">
        <v>1</v>
      </c>
      <c r="T2" s="112">
        <v>1</v>
      </c>
      <c r="U2" s="111"/>
      <c r="V2" s="112"/>
      <c r="W2" s="111"/>
      <c r="X2" s="112"/>
      <c r="Y2" s="111"/>
      <c r="Z2" s="112"/>
      <c r="AA2" s="111"/>
      <c r="AB2" s="112"/>
      <c r="AC2" s="111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  <c r="CG2" s="112"/>
      <c r="CH2" s="112"/>
      <c r="CI2" s="112"/>
    </row>
    <row r="3" spans="1:87" x14ac:dyDescent="0.25">
      <c r="A3" s="79" t="s">
        <v>66</v>
      </c>
      <c r="B3" s="79">
        <v>1</v>
      </c>
      <c r="C3" s="68">
        <v>0</v>
      </c>
      <c r="D3" s="79">
        <v>2</v>
      </c>
      <c r="E3" s="68">
        <f t="shared" si="0"/>
        <v>7</v>
      </c>
      <c r="F3" s="68">
        <f t="shared" si="1"/>
        <v>2.2999999999999998</v>
      </c>
      <c r="H3" s="68"/>
      <c r="J3" s="68"/>
      <c r="L3" s="68"/>
      <c r="N3" s="68"/>
      <c r="P3" s="68"/>
      <c r="R3" s="68"/>
      <c r="S3" s="79">
        <v>2</v>
      </c>
      <c r="T3" s="68">
        <v>3</v>
      </c>
      <c r="U3" s="5">
        <v>2</v>
      </c>
      <c r="V3" s="4" t="s">
        <v>213</v>
      </c>
      <c r="X3" s="68"/>
      <c r="Z3" s="68"/>
      <c r="AB3" s="68"/>
      <c r="AC3" s="79"/>
    </row>
    <row r="4" spans="1:87" x14ac:dyDescent="0.25">
      <c r="A4" s="113" t="s">
        <v>6</v>
      </c>
      <c r="B4" s="113">
        <v>0</v>
      </c>
      <c r="C4" s="114">
        <v>0</v>
      </c>
      <c r="D4" s="113">
        <v>7</v>
      </c>
      <c r="E4" s="114">
        <f t="shared" si="0"/>
        <v>36</v>
      </c>
      <c r="F4" s="114">
        <f t="shared" si="1"/>
        <v>2.6</v>
      </c>
      <c r="G4" s="113">
        <v>3</v>
      </c>
      <c r="H4" s="114">
        <v>3</v>
      </c>
      <c r="I4" s="113">
        <v>3</v>
      </c>
      <c r="J4" s="114">
        <v>2</v>
      </c>
      <c r="K4" s="113">
        <v>2</v>
      </c>
      <c r="L4" s="114">
        <v>3</v>
      </c>
      <c r="M4" s="113"/>
      <c r="N4" s="114"/>
      <c r="O4" s="113">
        <v>3</v>
      </c>
      <c r="P4" s="114">
        <v>2</v>
      </c>
      <c r="Q4" s="115">
        <v>3</v>
      </c>
      <c r="R4" s="116">
        <v>2</v>
      </c>
      <c r="S4" s="113">
        <v>2</v>
      </c>
      <c r="T4" s="114">
        <v>2</v>
      </c>
      <c r="U4" s="115">
        <v>3</v>
      </c>
      <c r="V4" s="116">
        <v>3</v>
      </c>
      <c r="W4" s="113"/>
      <c r="X4" s="114"/>
      <c r="Y4" s="113"/>
      <c r="Z4" s="114"/>
      <c r="AA4" s="113"/>
      <c r="AB4" s="114"/>
      <c r="AC4" s="113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4"/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4"/>
      <c r="BL4" s="114"/>
      <c r="BM4" s="114"/>
      <c r="BN4" s="114"/>
      <c r="BO4" s="114"/>
      <c r="BP4" s="114"/>
      <c r="BQ4" s="114"/>
      <c r="BR4" s="114"/>
      <c r="BS4" s="114"/>
      <c r="BT4" s="114"/>
      <c r="BU4" s="114"/>
      <c r="BV4" s="114"/>
      <c r="BW4" s="114"/>
      <c r="BX4" s="114"/>
      <c r="BY4" s="114"/>
      <c r="BZ4" s="114"/>
      <c r="CA4" s="114"/>
      <c r="CB4" s="114"/>
      <c r="CC4" s="114"/>
      <c r="CD4" s="114"/>
      <c r="CE4" s="114"/>
      <c r="CF4" s="114"/>
      <c r="CG4" s="114"/>
      <c r="CH4" s="114"/>
      <c r="CI4" s="114"/>
    </row>
    <row r="5" spans="1:87" x14ac:dyDescent="0.25">
      <c r="A5" s="79" t="s">
        <v>16</v>
      </c>
      <c r="B5" s="79">
        <v>0</v>
      </c>
      <c r="C5" s="68">
        <v>0</v>
      </c>
      <c r="D5" s="79">
        <v>1</v>
      </c>
      <c r="E5" s="68">
        <f t="shared" si="0"/>
        <v>5</v>
      </c>
      <c r="F5" s="68">
        <f t="shared" si="1"/>
        <v>2.5</v>
      </c>
      <c r="H5" s="68"/>
      <c r="J5" s="68"/>
      <c r="L5" s="68"/>
      <c r="N5" s="68"/>
      <c r="P5" s="68"/>
      <c r="R5" s="68"/>
      <c r="S5" s="79">
        <v>2</v>
      </c>
      <c r="T5" s="68">
        <v>3</v>
      </c>
      <c r="V5" s="68"/>
      <c r="X5" s="68"/>
      <c r="Z5" s="68"/>
      <c r="AB5" s="68"/>
      <c r="AC5" s="79"/>
    </row>
    <row r="6" spans="1:87" x14ac:dyDescent="0.25">
      <c r="A6" s="113" t="s">
        <v>76</v>
      </c>
      <c r="B6" s="113">
        <v>2</v>
      </c>
      <c r="C6" s="114">
        <v>0</v>
      </c>
      <c r="D6" s="113">
        <v>4</v>
      </c>
      <c r="E6" s="114">
        <f t="shared" si="0"/>
        <v>15</v>
      </c>
      <c r="F6" s="114">
        <f t="shared" si="1"/>
        <v>2.5</v>
      </c>
      <c r="G6" s="113">
        <v>3</v>
      </c>
      <c r="H6" s="114">
        <v>1</v>
      </c>
      <c r="I6" s="113">
        <v>3</v>
      </c>
      <c r="J6" s="114">
        <v>3</v>
      </c>
      <c r="K6" s="113"/>
      <c r="L6" s="114"/>
      <c r="M6" s="113"/>
      <c r="N6" s="114"/>
      <c r="O6" s="113">
        <v>3</v>
      </c>
      <c r="P6" s="114" t="s">
        <v>213</v>
      </c>
      <c r="Q6" s="113"/>
      <c r="R6" s="114"/>
      <c r="S6" s="113">
        <v>2</v>
      </c>
      <c r="T6" s="114" t="s">
        <v>213</v>
      </c>
      <c r="U6" s="113"/>
      <c r="V6" s="114"/>
      <c r="W6" s="113"/>
      <c r="X6" s="114"/>
      <c r="Y6" s="113"/>
      <c r="Z6" s="114"/>
      <c r="AA6" s="113"/>
      <c r="AB6" s="114"/>
      <c r="AC6" s="113"/>
      <c r="AD6" s="114"/>
      <c r="AE6" s="114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14"/>
      <c r="AS6" s="114"/>
      <c r="AT6" s="114"/>
      <c r="AU6" s="114"/>
      <c r="AV6" s="114"/>
      <c r="AW6" s="114"/>
      <c r="AX6" s="114"/>
      <c r="AY6" s="114"/>
      <c r="AZ6" s="114"/>
      <c r="BA6" s="114"/>
      <c r="BB6" s="114"/>
      <c r="BC6" s="114"/>
      <c r="BD6" s="114"/>
      <c r="BE6" s="114"/>
      <c r="BF6" s="114"/>
      <c r="BG6" s="114"/>
      <c r="BH6" s="114"/>
      <c r="BI6" s="114"/>
      <c r="BJ6" s="114"/>
      <c r="BK6" s="114"/>
      <c r="BL6" s="114"/>
      <c r="BM6" s="114"/>
      <c r="BN6" s="114"/>
      <c r="BO6" s="114"/>
      <c r="BP6" s="114"/>
      <c r="BQ6" s="114"/>
      <c r="BR6" s="114"/>
      <c r="BS6" s="114"/>
      <c r="BT6" s="114"/>
      <c r="BU6" s="114"/>
      <c r="BV6" s="114"/>
      <c r="BW6" s="114"/>
      <c r="BX6" s="114"/>
      <c r="BY6" s="114"/>
      <c r="BZ6" s="114"/>
      <c r="CA6" s="114"/>
      <c r="CB6" s="114"/>
      <c r="CC6" s="114"/>
      <c r="CD6" s="114"/>
      <c r="CE6" s="114"/>
      <c r="CF6" s="114"/>
      <c r="CG6" s="114"/>
      <c r="CH6" s="114"/>
      <c r="CI6" s="114"/>
    </row>
    <row r="7" spans="1:87" x14ac:dyDescent="0.25">
      <c r="A7" s="79" t="s">
        <v>57</v>
      </c>
      <c r="B7" s="79">
        <v>2</v>
      </c>
      <c r="C7" s="68">
        <v>1</v>
      </c>
      <c r="D7" s="79">
        <v>6</v>
      </c>
      <c r="E7" s="68">
        <f t="shared" si="0"/>
        <v>25</v>
      </c>
      <c r="F7" s="68">
        <f t="shared" si="1"/>
        <v>2.5</v>
      </c>
      <c r="G7" s="79">
        <v>2</v>
      </c>
      <c r="H7" s="68">
        <v>3</v>
      </c>
      <c r="I7" s="79">
        <v>2</v>
      </c>
      <c r="J7" s="68">
        <v>3</v>
      </c>
      <c r="K7" s="79" t="s">
        <v>213</v>
      </c>
      <c r="L7" s="68" t="s">
        <v>213</v>
      </c>
      <c r="N7" s="68"/>
      <c r="O7" s="79">
        <v>3</v>
      </c>
      <c r="P7" s="68">
        <v>2</v>
      </c>
      <c r="Q7" s="5">
        <v>3</v>
      </c>
      <c r="R7" s="4">
        <v>3</v>
      </c>
      <c r="S7" s="79">
        <v>2</v>
      </c>
      <c r="T7" s="68">
        <v>2</v>
      </c>
      <c r="V7" s="68"/>
      <c r="X7" s="68"/>
      <c r="Z7" s="68"/>
      <c r="AB7" s="68"/>
      <c r="AC7" s="79"/>
    </row>
    <row r="8" spans="1:87" x14ac:dyDescent="0.25">
      <c r="A8" s="113" t="s">
        <v>10</v>
      </c>
      <c r="B8" s="113">
        <v>0</v>
      </c>
      <c r="C8" s="114">
        <v>0</v>
      </c>
      <c r="D8" s="113">
        <v>8</v>
      </c>
      <c r="E8" s="114">
        <f t="shared" si="0"/>
        <v>45</v>
      </c>
      <c r="F8" s="114">
        <f t="shared" si="1"/>
        <v>2.8</v>
      </c>
      <c r="G8" s="113">
        <v>3</v>
      </c>
      <c r="H8" s="114">
        <v>3</v>
      </c>
      <c r="I8" s="113">
        <v>2</v>
      </c>
      <c r="J8" s="114">
        <v>3</v>
      </c>
      <c r="K8" s="113">
        <v>3</v>
      </c>
      <c r="L8" s="114">
        <v>3</v>
      </c>
      <c r="M8" s="113">
        <v>2</v>
      </c>
      <c r="N8" s="114">
        <v>2</v>
      </c>
      <c r="O8" s="113">
        <v>3</v>
      </c>
      <c r="P8" s="114">
        <v>3</v>
      </c>
      <c r="Q8" s="115">
        <v>3</v>
      </c>
      <c r="R8" s="116">
        <v>3</v>
      </c>
      <c r="S8" s="113">
        <v>3</v>
      </c>
      <c r="T8" s="114">
        <v>3</v>
      </c>
      <c r="U8" s="115">
        <v>3</v>
      </c>
      <c r="V8" s="116">
        <v>3</v>
      </c>
      <c r="W8" s="113"/>
      <c r="X8" s="114"/>
      <c r="Y8" s="113"/>
      <c r="Z8" s="114"/>
      <c r="AA8" s="113"/>
      <c r="AB8" s="114"/>
      <c r="AC8" s="113"/>
      <c r="AD8" s="114"/>
      <c r="AE8" s="114"/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4"/>
      <c r="BO8" s="114"/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14"/>
      <c r="CC8" s="114"/>
      <c r="CD8" s="114"/>
      <c r="CE8" s="114"/>
      <c r="CF8" s="114"/>
      <c r="CG8" s="114"/>
      <c r="CH8" s="114"/>
      <c r="CI8" s="114"/>
    </row>
    <row r="9" spans="1:87" x14ac:dyDescent="0.25">
      <c r="A9" s="79" t="s">
        <v>214</v>
      </c>
      <c r="B9" s="79">
        <v>2</v>
      </c>
      <c r="C9" s="68">
        <v>1</v>
      </c>
      <c r="D9" s="79">
        <v>2</v>
      </c>
      <c r="E9" s="68">
        <f t="shared" si="0"/>
        <v>6</v>
      </c>
      <c r="F9" s="68">
        <f t="shared" si="1"/>
        <v>3</v>
      </c>
      <c r="H9" s="68"/>
      <c r="J9" s="68"/>
      <c r="L9" s="68"/>
      <c r="N9" s="68"/>
      <c r="P9" s="68"/>
      <c r="R9" s="68"/>
      <c r="S9" s="79">
        <v>3</v>
      </c>
      <c r="T9" s="68">
        <v>3</v>
      </c>
      <c r="U9" s="5" t="s">
        <v>213</v>
      </c>
      <c r="V9" s="4" t="s">
        <v>213</v>
      </c>
      <c r="X9" s="68"/>
      <c r="Z9" s="68"/>
      <c r="AB9" s="68"/>
      <c r="AC9" s="79"/>
    </row>
    <row r="10" spans="1:87" x14ac:dyDescent="0.25">
      <c r="A10" s="113" t="s">
        <v>22</v>
      </c>
      <c r="B10" s="113">
        <v>0</v>
      </c>
      <c r="C10" s="114">
        <v>0</v>
      </c>
      <c r="D10" s="113">
        <v>8</v>
      </c>
      <c r="E10" s="114">
        <f t="shared" si="0"/>
        <v>41</v>
      </c>
      <c r="F10" s="114">
        <f t="shared" si="1"/>
        <v>2.6</v>
      </c>
      <c r="G10" s="113">
        <v>1</v>
      </c>
      <c r="H10" s="114">
        <v>3</v>
      </c>
      <c r="I10" s="113">
        <v>3</v>
      </c>
      <c r="J10" s="114">
        <v>3</v>
      </c>
      <c r="K10" s="113">
        <v>1</v>
      </c>
      <c r="L10" s="114">
        <v>3</v>
      </c>
      <c r="M10" s="113">
        <v>2</v>
      </c>
      <c r="N10" s="114">
        <v>3</v>
      </c>
      <c r="O10" s="113">
        <v>1</v>
      </c>
      <c r="P10" s="114">
        <v>3</v>
      </c>
      <c r="Q10" s="115">
        <v>3</v>
      </c>
      <c r="R10" s="116">
        <v>3</v>
      </c>
      <c r="S10" s="113">
        <v>3</v>
      </c>
      <c r="T10" s="114">
        <v>3</v>
      </c>
      <c r="U10" s="115">
        <v>3</v>
      </c>
      <c r="V10" s="116">
        <v>3</v>
      </c>
      <c r="W10" s="113"/>
      <c r="X10" s="114"/>
      <c r="Y10" s="113"/>
      <c r="Z10" s="114"/>
      <c r="AA10" s="113"/>
      <c r="AB10" s="114"/>
      <c r="AC10" s="113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114"/>
      <c r="CC10" s="114"/>
      <c r="CD10" s="114"/>
      <c r="CE10" s="114"/>
      <c r="CF10" s="114"/>
      <c r="CG10" s="114"/>
      <c r="CH10" s="114"/>
      <c r="CI10" s="114"/>
    </row>
    <row r="11" spans="1:87" x14ac:dyDescent="0.25">
      <c r="A11" s="79" t="s">
        <v>80</v>
      </c>
      <c r="B11" s="79">
        <v>0</v>
      </c>
      <c r="C11" s="68">
        <v>0</v>
      </c>
      <c r="D11" s="79">
        <v>1</v>
      </c>
      <c r="E11" s="68">
        <f t="shared" si="0"/>
        <v>3</v>
      </c>
      <c r="F11" s="68">
        <f t="shared" si="1"/>
        <v>1.5</v>
      </c>
      <c r="H11" s="68"/>
      <c r="I11" s="79">
        <v>2</v>
      </c>
      <c r="J11" s="68">
        <v>1</v>
      </c>
      <c r="L11" s="68"/>
      <c r="N11" s="68"/>
      <c r="P11" s="68"/>
      <c r="R11" s="68"/>
      <c r="T11" s="68"/>
      <c r="V11" s="68"/>
      <c r="X11" s="68"/>
      <c r="Z11" s="68"/>
      <c r="AB11" s="68"/>
      <c r="AC11" s="79"/>
    </row>
    <row r="12" spans="1:87" x14ac:dyDescent="0.25">
      <c r="A12" s="113" t="s">
        <v>95</v>
      </c>
      <c r="B12" s="113">
        <v>0</v>
      </c>
      <c r="C12" s="114">
        <v>0</v>
      </c>
      <c r="D12" s="113">
        <v>0</v>
      </c>
      <c r="E12" s="114">
        <f t="shared" si="0"/>
        <v>0</v>
      </c>
      <c r="F12" s="114" t="e">
        <f t="shared" si="1"/>
        <v>#DIV/0!</v>
      </c>
      <c r="G12" s="113"/>
      <c r="H12" s="114"/>
      <c r="I12" s="113"/>
      <c r="J12" s="114"/>
      <c r="K12" s="113"/>
      <c r="L12" s="114"/>
      <c r="M12" s="113"/>
      <c r="N12" s="114"/>
      <c r="O12" s="113"/>
      <c r="P12" s="114"/>
      <c r="Q12" s="113"/>
      <c r="R12" s="114"/>
      <c r="S12" s="113"/>
      <c r="T12" s="114"/>
      <c r="U12" s="113"/>
      <c r="V12" s="114"/>
      <c r="W12" s="113"/>
      <c r="X12" s="114"/>
      <c r="Y12" s="113"/>
      <c r="Z12" s="114"/>
      <c r="AA12" s="113"/>
      <c r="AB12" s="114"/>
      <c r="AC12" s="113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4"/>
      <c r="AU12" s="114"/>
      <c r="AV12" s="114"/>
      <c r="AW12" s="114"/>
      <c r="AX12" s="114"/>
      <c r="AY12" s="114"/>
      <c r="AZ12" s="114"/>
      <c r="BA12" s="114"/>
      <c r="BB12" s="114"/>
      <c r="BC12" s="114"/>
      <c r="BD12" s="114"/>
      <c r="BE12" s="114"/>
      <c r="BF12" s="114"/>
      <c r="BG12" s="114"/>
      <c r="BH12" s="114"/>
      <c r="BI12" s="114"/>
      <c r="BJ12" s="114"/>
      <c r="BK12" s="114"/>
      <c r="BL12" s="114"/>
      <c r="BM12" s="114"/>
      <c r="BN12" s="114"/>
      <c r="BO12" s="114"/>
      <c r="BP12" s="114"/>
      <c r="BQ12" s="114"/>
      <c r="BR12" s="114"/>
      <c r="BS12" s="114"/>
      <c r="BT12" s="114"/>
      <c r="BU12" s="114"/>
      <c r="BV12" s="114"/>
      <c r="BW12" s="114"/>
      <c r="BX12" s="114"/>
      <c r="BY12" s="114"/>
      <c r="BZ12" s="114"/>
      <c r="CA12" s="114"/>
      <c r="CB12" s="114"/>
      <c r="CC12" s="114"/>
      <c r="CD12" s="114"/>
      <c r="CE12" s="114"/>
      <c r="CF12" s="114"/>
      <c r="CG12" s="114"/>
      <c r="CH12" s="114"/>
      <c r="CI12" s="114"/>
    </row>
    <row r="13" spans="1:87" x14ac:dyDescent="0.25">
      <c r="A13" s="79" t="s">
        <v>215</v>
      </c>
      <c r="B13" s="79">
        <v>2</v>
      </c>
      <c r="C13" s="68">
        <v>1</v>
      </c>
      <c r="D13" s="79">
        <v>6</v>
      </c>
      <c r="E13" s="68">
        <f t="shared" si="0"/>
        <v>8</v>
      </c>
      <c r="F13" s="68">
        <f t="shared" si="1"/>
        <v>0.8</v>
      </c>
      <c r="G13" s="79">
        <v>2</v>
      </c>
      <c r="H13" s="68">
        <v>1</v>
      </c>
      <c r="I13" s="79">
        <v>0</v>
      </c>
      <c r="J13" s="68">
        <v>0</v>
      </c>
      <c r="K13" s="79">
        <v>2</v>
      </c>
      <c r="L13" s="68">
        <v>1</v>
      </c>
      <c r="M13" s="79">
        <v>1</v>
      </c>
      <c r="N13" s="68">
        <v>0</v>
      </c>
      <c r="O13" s="79">
        <v>1</v>
      </c>
      <c r="P13" s="68">
        <v>0</v>
      </c>
      <c r="Q13" s="5" t="s">
        <v>213</v>
      </c>
      <c r="R13" s="4" t="s">
        <v>213</v>
      </c>
      <c r="T13" s="68"/>
      <c r="V13" s="68"/>
      <c r="X13" s="68"/>
      <c r="Z13" s="68"/>
      <c r="AB13" s="68"/>
      <c r="AC13" s="79"/>
    </row>
    <row r="14" spans="1:87" x14ac:dyDescent="0.25">
      <c r="A14" s="113" t="s">
        <v>82</v>
      </c>
      <c r="B14" s="113">
        <v>0</v>
      </c>
      <c r="C14" s="114">
        <v>0</v>
      </c>
      <c r="D14" s="113">
        <v>1</v>
      </c>
      <c r="E14" s="114">
        <f t="shared" si="0"/>
        <v>6</v>
      </c>
      <c r="F14" s="114">
        <f t="shared" si="1"/>
        <v>3</v>
      </c>
      <c r="G14" s="113">
        <v>3</v>
      </c>
      <c r="H14" s="114">
        <v>3</v>
      </c>
      <c r="I14" s="113"/>
      <c r="J14" s="114"/>
      <c r="K14" s="113"/>
      <c r="L14" s="114"/>
      <c r="M14" s="113"/>
      <c r="N14" s="114"/>
      <c r="O14" s="113"/>
      <c r="P14" s="114"/>
      <c r="Q14" s="113"/>
      <c r="R14" s="114"/>
      <c r="S14" s="113"/>
      <c r="T14" s="114"/>
      <c r="U14" s="113"/>
      <c r="V14" s="114"/>
      <c r="W14" s="113"/>
      <c r="X14" s="114"/>
      <c r="Y14" s="113"/>
      <c r="Z14" s="114"/>
      <c r="AA14" s="113"/>
      <c r="AB14" s="114"/>
      <c r="AC14" s="113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4"/>
      <c r="AX14" s="114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  <c r="BP14" s="114"/>
      <c r="BQ14" s="114"/>
      <c r="BR14" s="114"/>
      <c r="BS14" s="114"/>
      <c r="BT14" s="114"/>
      <c r="BU14" s="114"/>
      <c r="BV14" s="114"/>
      <c r="BW14" s="114"/>
      <c r="BX14" s="114"/>
      <c r="BY14" s="114"/>
      <c r="BZ14" s="114"/>
      <c r="CA14" s="114"/>
      <c r="CB14" s="114"/>
      <c r="CC14" s="114"/>
      <c r="CD14" s="114"/>
      <c r="CE14" s="114"/>
      <c r="CF14" s="114"/>
      <c r="CG14" s="114"/>
      <c r="CH14" s="114"/>
      <c r="CI14" s="114"/>
    </row>
    <row r="15" spans="1:87" x14ac:dyDescent="0.25">
      <c r="A15" s="79" t="s">
        <v>216</v>
      </c>
      <c r="B15" s="79">
        <v>0</v>
      </c>
      <c r="C15" s="68">
        <v>0</v>
      </c>
      <c r="D15" s="79">
        <v>3</v>
      </c>
      <c r="E15" s="68">
        <f t="shared" si="0"/>
        <v>18</v>
      </c>
      <c r="F15" s="68">
        <f t="shared" si="1"/>
        <v>3</v>
      </c>
      <c r="H15" s="68"/>
      <c r="J15" s="68"/>
      <c r="K15" s="79">
        <v>3</v>
      </c>
      <c r="L15" s="68">
        <v>3</v>
      </c>
      <c r="M15" s="79">
        <v>3</v>
      </c>
      <c r="N15" s="68">
        <v>3</v>
      </c>
      <c r="P15" s="68"/>
      <c r="Q15" s="5">
        <v>3</v>
      </c>
      <c r="R15" s="4">
        <v>3</v>
      </c>
      <c r="T15" s="68"/>
      <c r="V15" s="68"/>
      <c r="X15" s="68"/>
      <c r="Z15" s="68"/>
      <c r="AB15" s="68"/>
      <c r="AC15" s="79"/>
    </row>
    <row r="16" spans="1:87" x14ac:dyDescent="0.25">
      <c r="A16" s="113" t="s">
        <v>96</v>
      </c>
      <c r="B16" s="113">
        <v>0</v>
      </c>
      <c r="C16" s="114">
        <v>0</v>
      </c>
      <c r="D16" s="113">
        <v>0</v>
      </c>
      <c r="E16" s="114">
        <f t="shared" si="0"/>
        <v>0</v>
      </c>
      <c r="F16" s="114" t="e">
        <f t="shared" si="1"/>
        <v>#DIV/0!</v>
      </c>
      <c r="G16" s="113"/>
      <c r="H16" s="114"/>
      <c r="I16" s="113"/>
      <c r="J16" s="114"/>
      <c r="K16" s="113"/>
      <c r="L16" s="114"/>
      <c r="M16" s="113"/>
      <c r="N16" s="114"/>
      <c r="O16" s="113"/>
      <c r="P16" s="114"/>
      <c r="Q16" s="113"/>
      <c r="R16" s="114"/>
      <c r="S16" s="113"/>
      <c r="T16" s="114"/>
      <c r="U16" s="113"/>
      <c r="V16" s="114"/>
      <c r="W16" s="113"/>
      <c r="X16" s="114"/>
      <c r="Y16" s="113"/>
      <c r="Z16" s="114"/>
      <c r="AA16" s="113"/>
      <c r="AB16" s="114"/>
      <c r="AC16" s="113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4"/>
      <c r="BE16" s="114"/>
      <c r="BF16" s="114"/>
      <c r="BG16" s="114"/>
      <c r="BH16" s="114"/>
      <c r="BI16" s="114"/>
      <c r="BJ16" s="114"/>
      <c r="BK16" s="114"/>
      <c r="BL16" s="114"/>
      <c r="BM16" s="114"/>
      <c r="BN16" s="114"/>
      <c r="BO16" s="114"/>
      <c r="BP16" s="114"/>
      <c r="BQ16" s="114"/>
      <c r="BR16" s="114"/>
      <c r="BS16" s="114"/>
      <c r="BT16" s="114"/>
      <c r="BU16" s="114"/>
      <c r="BV16" s="114"/>
      <c r="BW16" s="114"/>
      <c r="BX16" s="114"/>
      <c r="BY16" s="114"/>
      <c r="BZ16" s="114"/>
      <c r="CA16" s="114"/>
      <c r="CB16" s="114"/>
      <c r="CC16" s="114"/>
      <c r="CD16" s="114"/>
      <c r="CE16" s="114"/>
      <c r="CF16" s="114"/>
      <c r="CG16" s="114"/>
      <c r="CH16" s="114"/>
      <c r="CI16" s="114"/>
    </row>
    <row r="17" spans="1:87" x14ac:dyDescent="0.25">
      <c r="A17" s="79" t="s">
        <v>217</v>
      </c>
      <c r="B17" s="79">
        <v>0</v>
      </c>
      <c r="C17" s="68">
        <v>0</v>
      </c>
      <c r="D17" s="79">
        <v>0</v>
      </c>
      <c r="E17" s="68">
        <f t="shared" si="0"/>
        <v>0</v>
      </c>
      <c r="F17" s="68" t="e">
        <f t="shared" si="1"/>
        <v>#DIV/0!</v>
      </c>
      <c r="H17" s="68"/>
      <c r="J17" s="68"/>
      <c r="L17" s="68"/>
      <c r="N17" s="68"/>
      <c r="P17" s="68"/>
      <c r="R17" s="68"/>
      <c r="T17" s="68"/>
      <c r="V17" s="68"/>
      <c r="X17" s="68"/>
      <c r="Z17" s="68"/>
      <c r="AB17" s="68"/>
      <c r="AC17" s="79"/>
    </row>
    <row r="18" spans="1:87" x14ac:dyDescent="0.25">
      <c r="A18" s="113" t="s">
        <v>70</v>
      </c>
      <c r="B18" s="113">
        <v>0</v>
      </c>
      <c r="C18" s="114">
        <v>0</v>
      </c>
      <c r="D18" s="113">
        <v>2</v>
      </c>
      <c r="E18" s="114">
        <f t="shared" si="0"/>
        <v>9</v>
      </c>
      <c r="F18" s="114">
        <f t="shared" si="1"/>
        <v>2.2999999999999998</v>
      </c>
      <c r="G18" s="113"/>
      <c r="H18" s="114"/>
      <c r="I18" s="113"/>
      <c r="J18" s="114"/>
      <c r="K18" s="113"/>
      <c r="L18" s="114"/>
      <c r="M18" s="113"/>
      <c r="N18" s="114"/>
      <c r="O18" s="113"/>
      <c r="P18" s="114"/>
      <c r="Q18" s="115">
        <v>3</v>
      </c>
      <c r="R18" s="116">
        <v>2</v>
      </c>
      <c r="S18" s="113"/>
      <c r="T18" s="114"/>
      <c r="U18" s="115">
        <v>3</v>
      </c>
      <c r="V18" s="116">
        <v>1</v>
      </c>
      <c r="W18" s="113"/>
      <c r="X18" s="114"/>
      <c r="Y18" s="113"/>
      <c r="Z18" s="114"/>
      <c r="AA18" s="113"/>
      <c r="AB18" s="114"/>
      <c r="AC18" s="113"/>
      <c r="AD18" s="114"/>
      <c r="AE18" s="114"/>
      <c r="AF18" s="114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  <c r="AQ18" s="114"/>
      <c r="AR18" s="114"/>
      <c r="AS18" s="114"/>
      <c r="AT18" s="114"/>
      <c r="AU18" s="114"/>
      <c r="AV18" s="114"/>
      <c r="AW18" s="114"/>
      <c r="AX18" s="114"/>
      <c r="AY18" s="114"/>
      <c r="AZ18" s="114"/>
      <c r="BA18" s="114"/>
      <c r="BB18" s="114"/>
      <c r="BC18" s="114"/>
      <c r="BD18" s="114"/>
      <c r="BE18" s="114"/>
      <c r="BF18" s="114"/>
      <c r="BG18" s="114"/>
      <c r="BH18" s="114"/>
      <c r="BI18" s="114"/>
      <c r="BJ18" s="114"/>
      <c r="BK18" s="114"/>
      <c r="BL18" s="114"/>
      <c r="BM18" s="114"/>
      <c r="BN18" s="114"/>
      <c r="BO18" s="114"/>
      <c r="BP18" s="114"/>
      <c r="BQ18" s="114"/>
      <c r="BR18" s="114"/>
      <c r="BS18" s="114"/>
      <c r="BT18" s="114"/>
      <c r="BU18" s="114"/>
      <c r="BV18" s="114"/>
      <c r="BW18" s="114"/>
      <c r="BX18" s="114"/>
      <c r="BY18" s="114"/>
      <c r="BZ18" s="114"/>
      <c r="CA18" s="114"/>
      <c r="CB18" s="114"/>
      <c r="CC18" s="114"/>
      <c r="CD18" s="114"/>
      <c r="CE18" s="114"/>
      <c r="CF18" s="114"/>
      <c r="CG18" s="114"/>
      <c r="CH18" s="114"/>
      <c r="CI18" s="114"/>
    </row>
    <row r="19" spans="1:87" x14ac:dyDescent="0.25">
      <c r="A19" s="79" t="s">
        <v>69</v>
      </c>
      <c r="B19" s="79">
        <v>0</v>
      </c>
      <c r="C19" s="68">
        <v>0</v>
      </c>
      <c r="D19" s="79">
        <v>5</v>
      </c>
      <c r="E19" s="68">
        <f t="shared" si="0"/>
        <v>22</v>
      </c>
      <c r="F19" s="68">
        <f t="shared" si="1"/>
        <v>2.2000000000000002</v>
      </c>
      <c r="G19" s="79">
        <v>1</v>
      </c>
      <c r="H19" s="68">
        <v>2</v>
      </c>
      <c r="I19" s="79">
        <v>1</v>
      </c>
      <c r="J19" s="68">
        <v>3</v>
      </c>
      <c r="L19" s="68"/>
      <c r="M19" s="79">
        <v>0</v>
      </c>
      <c r="N19" s="68">
        <v>3</v>
      </c>
      <c r="O19" s="79">
        <v>3</v>
      </c>
      <c r="P19" s="68">
        <v>3</v>
      </c>
      <c r="R19" s="68"/>
      <c r="T19" s="68"/>
      <c r="U19" s="5">
        <v>3</v>
      </c>
      <c r="V19" s="4">
        <v>3</v>
      </c>
      <c r="X19" s="68"/>
      <c r="Z19" s="68"/>
      <c r="AB19" s="68"/>
      <c r="AC19" s="79"/>
    </row>
    <row r="20" spans="1:87" x14ac:dyDescent="0.25">
      <c r="A20" s="113" t="s">
        <v>105</v>
      </c>
      <c r="B20" s="113">
        <v>0</v>
      </c>
      <c r="C20" s="114">
        <v>0</v>
      </c>
      <c r="D20" s="113">
        <v>0</v>
      </c>
      <c r="E20" s="114">
        <f t="shared" si="0"/>
        <v>0</v>
      </c>
      <c r="F20" s="114" t="e">
        <f t="shared" si="1"/>
        <v>#DIV/0!</v>
      </c>
      <c r="G20" s="113"/>
      <c r="H20" s="114"/>
      <c r="I20" s="113"/>
      <c r="J20" s="114"/>
      <c r="K20" s="113"/>
      <c r="L20" s="114"/>
      <c r="M20" s="113"/>
      <c r="N20" s="114"/>
      <c r="O20" s="113"/>
      <c r="P20" s="114"/>
      <c r="Q20" s="113"/>
      <c r="R20" s="114"/>
      <c r="S20" s="113"/>
      <c r="T20" s="114"/>
      <c r="U20" s="113"/>
      <c r="V20" s="114"/>
      <c r="W20" s="113"/>
      <c r="X20" s="114"/>
      <c r="Y20" s="113"/>
      <c r="Z20" s="114"/>
      <c r="AA20" s="113"/>
      <c r="AB20" s="114"/>
      <c r="AC20" s="113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4"/>
      <c r="AR20" s="114"/>
      <c r="AS20" s="114"/>
      <c r="AT20" s="114"/>
      <c r="AU20" s="114"/>
      <c r="AV20" s="114"/>
      <c r="AW20" s="114"/>
      <c r="AX20" s="114"/>
      <c r="AY20" s="114"/>
      <c r="AZ20" s="114"/>
      <c r="BA20" s="114"/>
      <c r="BB20" s="114"/>
      <c r="BC20" s="114"/>
      <c r="BD20" s="114"/>
      <c r="BE20" s="114"/>
      <c r="BF20" s="114"/>
      <c r="BG20" s="114"/>
      <c r="BH20" s="114"/>
      <c r="BI20" s="114"/>
      <c r="BJ20" s="114"/>
      <c r="BK20" s="114"/>
      <c r="BL20" s="114"/>
      <c r="BM20" s="114"/>
      <c r="BN20" s="114"/>
      <c r="BO20" s="114"/>
      <c r="BP20" s="114"/>
      <c r="BQ20" s="114"/>
      <c r="BR20" s="114"/>
      <c r="BS20" s="114"/>
      <c r="BT20" s="114"/>
      <c r="BU20" s="114"/>
      <c r="BV20" s="114"/>
      <c r="BW20" s="114"/>
      <c r="BX20" s="114"/>
      <c r="BY20" s="114"/>
      <c r="BZ20" s="114"/>
      <c r="CA20" s="114"/>
      <c r="CB20" s="114"/>
      <c r="CC20" s="114"/>
      <c r="CD20" s="114"/>
      <c r="CE20" s="114"/>
      <c r="CF20" s="114"/>
      <c r="CG20" s="114"/>
      <c r="CH20" s="114"/>
      <c r="CI20" s="114"/>
    </row>
    <row r="21" spans="1:87" x14ac:dyDescent="0.25">
      <c r="A21" s="79" t="s">
        <v>61</v>
      </c>
      <c r="B21" s="79">
        <v>0</v>
      </c>
      <c r="C21" s="68">
        <v>0</v>
      </c>
      <c r="D21" s="79">
        <v>5</v>
      </c>
      <c r="E21" s="68">
        <f t="shared" si="0"/>
        <v>24</v>
      </c>
      <c r="F21" s="68">
        <f t="shared" si="1"/>
        <v>2.4</v>
      </c>
      <c r="H21" s="68"/>
      <c r="I21" s="79">
        <v>3</v>
      </c>
      <c r="J21" s="68">
        <v>1</v>
      </c>
      <c r="K21" s="79">
        <v>3</v>
      </c>
      <c r="L21" s="68">
        <v>3</v>
      </c>
      <c r="N21" s="68"/>
      <c r="O21" s="79">
        <v>3</v>
      </c>
      <c r="P21" s="68">
        <v>1</v>
      </c>
      <c r="Q21" s="5">
        <v>3</v>
      </c>
      <c r="R21" s="4">
        <v>3</v>
      </c>
      <c r="T21" s="68"/>
      <c r="U21" s="5">
        <v>3</v>
      </c>
      <c r="V21" s="4">
        <v>1</v>
      </c>
      <c r="X21" s="68"/>
      <c r="Z21" s="68"/>
      <c r="AB21" s="68"/>
      <c r="AC21" s="79"/>
    </row>
    <row r="22" spans="1:87" x14ac:dyDescent="0.25">
      <c r="A22" s="113" t="s">
        <v>20</v>
      </c>
      <c r="B22" s="113">
        <v>0</v>
      </c>
      <c r="C22" s="114">
        <v>0</v>
      </c>
      <c r="D22" s="113">
        <v>4</v>
      </c>
      <c r="E22" s="114">
        <f t="shared" si="0"/>
        <v>19</v>
      </c>
      <c r="F22" s="114">
        <f t="shared" si="1"/>
        <v>2.4</v>
      </c>
      <c r="G22" s="113">
        <v>3</v>
      </c>
      <c r="H22" s="114">
        <v>3</v>
      </c>
      <c r="I22" s="113"/>
      <c r="J22" s="114"/>
      <c r="K22" s="113">
        <v>2</v>
      </c>
      <c r="L22" s="114">
        <v>2</v>
      </c>
      <c r="M22" s="113"/>
      <c r="N22" s="114"/>
      <c r="O22" s="113">
        <v>1</v>
      </c>
      <c r="P22" s="114">
        <v>3</v>
      </c>
      <c r="Q22" s="115">
        <v>2</v>
      </c>
      <c r="R22" s="116">
        <v>3</v>
      </c>
      <c r="S22" s="113"/>
      <c r="T22" s="114"/>
      <c r="U22" s="113"/>
      <c r="V22" s="114"/>
      <c r="W22" s="113"/>
      <c r="X22" s="114"/>
      <c r="Y22" s="113"/>
      <c r="Z22" s="114"/>
      <c r="AA22" s="113"/>
      <c r="AB22" s="114"/>
      <c r="AC22" s="113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114"/>
      <c r="BE22" s="114"/>
      <c r="BF22" s="114"/>
      <c r="BG22" s="114"/>
      <c r="BH22" s="114"/>
      <c r="BI22" s="114"/>
      <c r="BJ22" s="114"/>
      <c r="BK22" s="114"/>
      <c r="BL22" s="114"/>
      <c r="BM22" s="114"/>
      <c r="BN22" s="114"/>
      <c r="BO22" s="114"/>
      <c r="BP22" s="114"/>
      <c r="BQ22" s="114"/>
      <c r="BR22" s="114"/>
      <c r="BS22" s="114"/>
      <c r="BT22" s="114"/>
      <c r="BU22" s="114"/>
      <c r="BV22" s="114"/>
      <c r="BW22" s="114"/>
      <c r="BX22" s="114"/>
      <c r="BY22" s="114"/>
      <c r="BZ22" s="114"/>
      <c r="CA22" s="114"/>
      <c r="CB22" s="114"/>
      <c r="CC22" s="114"/>
      <c r="CD22" s="114"/>
      <c r="CE22" s="114"/>
      <c r="CF22" s="114"/>
      <c r="CG22" s="114"/>
      <c r="CH22" s="114"/>
      <c r="CI22" s="114"/>
    </row>
    <row r="23" spans="1:87" x14ac:dyDescent="0.25">
      <c r="A23" s="79" t="s">
        <v>68</v>
      </c>
      <c r="B23" s="79">
        <v>0</v>
      </c>
      <c r="C23" s="68">
        <v>0</v>
      </c>
      <c r="D23" s="79">
        <v>2</v>
      </c>
      <c r="E23" s="68">
        <f t="shared" si="0"/>
        <v>9</v>
      </c>
      <c r="F23" s="68">
        <f t="shared" si="1"/>
        <v>2.2999999999999998</v>
      </c>
      <c r="G23" s="79">
        <v>1</v>
      </c>
      <c r="H23" s="68">
        <v>2</v>
      </c>
      <c r="I23" s="79">
        <v>3</v>
      </c>
      <c r="J23" s="68">
        <v>3</v>
      </c>
      <c r="L23" s="68"/>
      <c r="N23" s="68"/>
      <c r="P23" s="68"/>
      <c r="R23" s="68"/>
      <c r="T23" s="68"/>
      <c r="V23" s="68"/>
      <c r="X23" s="68"/>
      <c r="Z23" s="68"/>
      <c r="AB23" s="68"/>
      <c r="AC23" s="79"/>
    </row>
    <row r="24" spans="1:87" x14ac:dyDescent="0.25">
      <c r="A24" s="113" t="s">
        <v>13</v>
      </c>
      <c r="B24" s="113">
        <v>0</v>
      </c>
      <c r="C24" s="114">
        <v>0</v>
      </c>
      <c r="D24" s="113">
        <v>0</v>
      </c>
      <c r="E24" s="114">
        <f t="shared" si="0"/>
        <v>0</v>
      </c>
      <c r="F24" s="114" t="e">
        <f t="shared" si="1"/>
        <v>#DIV/0!</v>
      </c>
      <c r="G24" s="113"/>
      <c r="H24" s="114"/>
      <c r="I24" s="113"/>
      <c r="J24" s="114"/>
      <c r="K24" s="113"/>
      <c r="L24" s="114"/>
      <c r="M24" s="113"/>
      <c r="N24" s="114"/>
      <c r="O24" s="113"/>
      <c r="P24" s="114"/>
      <c r="Q24" s="113"/>
      <c r="R24" s="114"/>
      <c r="S24" s="113"/>
      <c r="T24" s="114"/>
      <c r="U24" s="113"/>
      <c r="V24" s="114"/>
      <c r="W24" s="113"/>
      <c r="X24" s="114"/>
      <c r="Y24" s="113"/>
      <c r="Z24" s="114"/>
      <c r="AA24" s="113"/>
      <c r="AB24" s="114"/>
      <c r="AC24" s="113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4"/>
      <c r="BE24" s="114"/>
      <c r="BF24" s="114"/>
      <c r="BG24" s="114"/>
      <c r="BH24" s="114"/>
      <c r="BI24" s="114"/>
      <c r="BJ24" s="114"/>
      <c r="BK24" s="114"/>
      <c r="BL24" s="114"/>
      <c r="BM24" s="114"/>
      <c r="BN24" s="114"/>
      <c r="BO24" s="114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14"/>
      <c r="CC24" s="114"/>
      <c r="CD24" s="114"/>
      <c r="CE24" s="114"/>
      <c r="CF24" s="114"/>
      <c r="CG24" s="114"/>
      <c r="CH24" s="114"/>
      <c r="CI24" s="114"/>
    </row>
    <row r="25" spans="1:87" x14ac:dyDescent="0.25">
      <c r="A25" s="79" t="s">
        <v>64</v>
      </c>
      <c r="B25" s="79">
        <v>2</v>
      </c>
      <c r="C25" s="68">
        <v>0</v>
      </c>
      <c r="D25" s="79">
        <v>4</v>
      </c>
      <c r="E25" s="68">
        <f t="shared" si="0"/>
        <v>14</v>
      </c>
      <c r="F25" s="68">
        <f t="shared" si="1"/>
        <v>2.2999999999999998</v>
      </c>
      <c r="H25" s="68"/>
      <c r="I25" s="79">
        <v>2</v>
      </c>
      <c r="J25" s="68" t="s">
        <v>213</v>
      </c>
      <c r="L25" s="68"/>
      <c r="M25" s="79">
        <v>3</v>
      </c>
      <c r="N25" s="68">
        <v>1</v>
      </c>
      <c r="O25" s="79">
        <v>3</v>
      </c>
      <c r="P25" s="68">
        <v>3</v>
      </c>
      <c r="Q25" s="5">
        <v>2</v>
      </c>
      <c r="R25" s="4" t="s">
        <v>213</v>
      </c>
      <c r="T25" s="68"/>
      <c r="V25" s="68"/>
      <c r="X25" s="68"/>
      <c r="Z25" s="68"/>
      <c r="AB25" s="68"/>
      <c r="AC25" s="79"/>
    </row>
    <row r="26" spans="1:87" x14ac:dyDescent="0.25">
      <c r="A26" s="113" t="s">
        <v>73</v>
      </c>
      <c r="B26" s="113">
        <v>2</v>
      </c>
      <c r="C26" s="114">
        <v>1</v>
      </c>
      <c r="D26" s="113">
        <v>4</v>
      </c>
      <c r="E26" s="114">
        <f t="shared" si="0"/>
        <v>18</v>
      </c>
      <c r="F26" s="114">
        <f t="shared" si="1"/>
        <v>3</v>
      </c>
      <c r="G26" s="113" t="s">
        <v>213</v>
      </c>
      <c r="H26" s="114" t="s">
        <v>213</v>
      </c>
      <c r="I26" s="113">
        <v>3</v>
      </c>
      <c r="J26" s="114">
        <v>3</v>
      </c>
      <c r="K26" s="113">
        <v>3</v>
      </c>
      <c r="L26" s="114">
        <v>3</v>
      </c>
      <c r="M26" s="113"/>
      <c r="N26" s="114"/>
      <c r="O26" s="113"/>
      <c r="P26" s="114"/>
      <c r="Q26" s="113"/>
      <c r="R26" s="114"/>
      <c r="S26" s="113"/>
      <c r="T26" s="114"/>
      <c r="U26" s="115">
        <v>3</v>
      </c>
      <c r="V26" s="116">
        <v>3</v>
      </c>
      <c r="W26" s="113"/>
      <c r="X26" s="114"/>
      <c r="Y26" s="113"/>
      <c r="Z26" s="114"/>
      <c r="AA26" s="113"/>
      <c r="AB26" s="114"/>
      <c r="AC26" s="113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  <c r="AQ26" s="114"/>
      <c r="AR26" s="114"/>
      <c r="AS26" s="114"/>
      <c r="AT26" s="114"/>
      <c r="AU26" s="114"/>
      <c r="AV26" s="114"/>
      <c r="AW26" s="114"/>
      <c r="AX26" s="114"/>
      <c r="AY26" s="114"/>
      <c r="AZ26" s="114"/>
      <c r="BA26" s="114"/>
      <c r="BB26" s="114"/>
      <c r="BC26" s="114"/>
      <c r="BD26" s="114"/>
      <c r="BE26" s="114"/>
      <c r="BF26" s="114"/>
      <c r="BG26" s="114"/>
      <c r="BH26" s="114"/>
      <c r="BI26" s="114"/>
      <c r="BJ26" s="114"/>
      <c r="BK26" s="114"/>
      <c r="BL26" s="114"/>
      <c r="BM26" s="114"/>
      <c r="BN26" s="114"/>
      <c r="BO26" s="114"/>
      <c r="BP26" s="114"/>
      <c r="BQ26" s="114"/>
      <c r="BR26" s="114"/>
      <c r="BS26" s="114"/>
      <c r="BT26" s="114"/>
      <c r="BU26" s="114"/>
      <c r="BV26" s="114"/>
      <c r="BW26" s="114"/>
      <c r="BX26" s="114"/>
      <c r="BY26" s="114"/>
      <c r="BZ26" s="114"/>
      <c r="CA26" s="114"/>
      <c r="CB26" s="114"/>
      <c r="CC26" s="114"/>
      <c r="CD26" s="114"/>
      <c r="CE26" s="114"/>
      <c r="CF26" s="114"/>
      <c r="CG26" s="114"/>
      <c r="CH26" s="114"/>
      <c r="CI26" s="114"/>
    </row>
    <row r="27" spans="1:87" x14ac:dyDescent="0.25">
      <c r="A27" s="79" t="s">
        <v>41</v>
      </c>
      <c r="B27" s="79">
        <v>0</v>
      </c>
      <c r="C27" s="68">
        <v>0</v>
      </c>
      <c r="D27" s="79">
        <v>0</v>
      </c>
      <c r="E27" s="68">
        <f t="shared" si="0"/>
        <v>0</v>
      </c>
      <c r="F27" s="68" t="e">
        <f t="shared" si="1"/>
        <v>#DIV/0!</v>
      </c>
      <c r="H27" s="68"/>
      <c r="J27" s="68"/>
      <c r="L27" s="68"/>
      <c r="N27" s="68"/>
      <c r="P27" s="68"/>
      <c r="R27" s="68"/>
      <c r="T27" s="68"/>
      <c r="V27" s="68"/>
      <c r="X27" s="68"/>
      <c r="Z27" s="68"/>
      <c r="AB27" s="68"/>
      <c r="AC27" s="79"/>
    </row>
    <row r="28" spans="1:87" x14ac:dyDescent="0.25">
      <c r="A28" s="113" t="s">
        <v>65</v>
      </c>
      <c r="B28" s="113">
        <v>0</v>
      </c>
      <c r="C28" s="114">
        <v>0</v>
      </c>
      <c r="D28" s="113">
        <v>1</v>
      </c>
      <c r="E28" s="114">
        <f t="shared" si="0"/>
        <v>5</v>
      </c>
      <c r="F28" s="114">
        <f t="shared" si="1"/>
        <v>2.5</v>
      </c>
      <c r="G28" s="113"/>
      <c r="H28" s="114"/>
      <c r="I28" s="113"/>
      <c r="J28" s="114"/>
      <c r="K28" s="113"/>
      <c r="L28" s="114"/>
      <c r="M28" s="113"/>
      <c r="N28" s="114"/>
      <c r="O28" s="113"/>
      <c r="P28" s="114"/>
      <c r="Q28" s="113"/>
      <c r="R28" s="114"/>
      <c r="S28" s="113"/>
      <c r="T28" s="114"/>
      <c r="U28" s="115">
        <v>2</v>
      </c>
      <c r="V28" s="116">
        <v>3</v>
      </c>
      <c r="W28" s="113"/>
      <c r="X28" s="114"/>
      <c r="Y28" s="113"/>
      <c r="Z28" s="114"/>
      <c r="AA28" s="113"/>
      <c r="AB28" s="114"/>
      <c r="AC28" s="113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  <c r="AN28" s="114"/>
      <c r="AO28" s="114"/>
      <c r="AP28" s="114"/>
      <c r="AQ28" s="114"/>
      <c r="AR28" s="114"/>
      <c r="AS28" s="114"/>
      <c r="AT28" s="114"/>
      <c r="AU28" s="114"/>
      <c r="AV28" s="114"/>
      <c r="AW28" s="114"/>
      <c r="AX28" s="114"/>
      <c r="AY28" s="114"/>
      <c r="AZ28" s="114"/>
      <c r="BA28" s="114"/>
      <c r="BB28" s="114"/>
      <c r="BC28" s="114"/>
      <c r="BD28" s="114"/>
      <c r="BE28" s="114"/>
      <c r="BF28" s="114"/>
      <c r="BG28" s="114"/>
      <c r="BH28" s="114"/>
      <c r="BI28" s="114"/>
      <c r="BJ28" s="114"/>
      <c r="BK28" s="114"/>
      <c r="BL28" s="114"/>
      <c r="BM28" s="114"/>
      <c r="BN28" s="114"/>
      <c r="BO28" s="114"/>
      <c r="BP28" s="114"/>
      <c r="BQ28" s="114"/>
      <c r="BR28" s="114"/>
      <c r="BS28" s="114"/>
      <c r="BT28" s="114"/>
      <c r="BU28" s="114"/>
      <c r="BV28" s="114"/>
      <c r="BW28" s="114"/>
      <c r="BX28" s="114"/>
      <c r="BY28" s="114"/>
      <c r="BZ28" s="114"/>
      <c r="CA28" s="114"/>
      <c r="CB28" s="114"/>
      <c r="CC28" s="114"/>
      <c r="CD28" s="114"/>
      <c r="CE28" s="114"/>
      <c r="CF28" s="114"/>
      <c r="CG28" s="114"/>
      <c r="CH28" s="114"/>
      <c r="CI28" s="114"/>
    </row>
    <row r="29" spans="1:87" x14ac:dyDescent="0.25">
      <c r="A29" s="79" t="s">
        <v>45</v>
      </c>
      <c r="B29" s="79">
        <v>0</v>
      </c>
      <c r="C29" s="68">
        <v>0</v>
      </c>
      <c r="D29" s="79">
        <v>4</v>
      </c>
      <c r="E29" s="68">
        <f t="shared" si="0"/>
        <v>24</v>
      </c>
      <c r="F29" s="68">
        <f t="shared" si="1"/>
        <v>3</v>
      </c>
      <c r="H29" s="68"/>
      <c r="I29" s="79">
        <v>3</v>
      </c>
      <c r="J29" s="68">
        <v>3</v>
      </c>
      <c r="L29" s="68"/>
      <c r="M29" s="79">
        <v>3</v>
      </c>
      <c r="N29" s="68">
        <v>3</v>
      </c>
      <c r="O29" s="79">
        <v>3</v>
      </c>
      <c r="P29" s="68">
        <v>3</v>
      </c>
      <c r="Q29" s="5">
        <v>3</v>
      </c>
      <c r="R29" s="4">
        <v>3</v>
      </c>
      <c r="T29" s="68"/>
      <c r="V29" s="68"/>
      <c r="X29" s="68"/>
      <c r="Z29" s="68"/>
      <c r="AB29" s="68"/>
      <c r="AC29" s="79"/>
    </row>
    <row r="30" spans="1:87" x14ac:dyDescent="0.25">
      <c r="A30" s="113" t="s">
        <v>79</v>
      </c>
      <c r="B30" s="113">
        <v>2</v>
      </c>
      <c r="C30" s="114">
        <v>1</v>
      </c>
      <c r="D30" s="113">
        <v>4</v>
      </c>
      <c r="E30" s="114">
        <f t="shared" si="0"/>
        <v>10</v>
      </c>
      <c r="F30" s="114">
        <f t="shared" si="1"/>
        <v>1.7</v>
      </c>
      <c r="G30" s="113"/>
      <c r="H30" s="114"/>
      <c r="I30" s="113" t="s">
        <v>213</v>
      </c>
      <c r="J30" s="114" t="s">
        <v>213</v>
      </c>
      <c r="K30" s="113">
        <v>3</v>
      </c>
      <c r="L30" s="114">
        <v>3</v>
      </c>
      <c r="M30" s="113">
        <v>1</v>
      </c>
      <c r="N30" s="114">
        <v>1</v>
      </c>
      <c r="O30" s="113">
        <v>0</v>
      </c>
      <c r="P30" s="114" t="s">
        <v>213</v>
      </c>
      <c r="Q30" s="115">
        <v>2</v>
      </c>
      <c r="R30" s="116" t="s">
        <v>213</v>
      </c>
      <c r="S30" s="113"/>
      <c r="T30" s="114"/>
      <c r="U30" s="113"/>
      <c r="V30" s="114"/>
      <c r="W30" s="113"/>
      <c r="X30" s="114"/>
      <c r="Y30" s="113"/>
      <c r="Z30" s="114"/>
      <c r="AA30" s="113"/>
      <c r="AB30" s="114"/>
      <c r="AC30" s="113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114"/>
      <c r="AS30" s="114"/>
      <c r="AT30" s="114"/>
      <c r="AU30" s="114"/>
      <c r="AV30" s="114"/>
      <c r="AW30" s="114"/>
      <c r="AX30" s="114"/>
      <c r="AY30" s="114"/>
      <c r="AZ30" s="114"/>
      <c r="BA30" s="114"/>
      <c r="BB30" s="114"/>
      <c r="BC30" s="114"/>
      <c r="BD30" s="114"/>
      <c r="BE30" s="114"/>
      <c r="BF30" s="114"/>
      <c r="BG30" s="114"/>
      <c r="BH30" s="114"/>
      <c r="BI30" s="114"/>
      <c r="BJ30" s="114"/>
      <c r="BK30" s="114"/>
      <c r="BL30" s="114"/>
      <c r="BM30" s="114"/>
      <c r="BN30" s="114"/>
      <c r="BO30" s="114"/>
      <c r="BP30" s="114"/>
      <c r="BQ30" s="114"/>
      <c r="BR30" s="114"/>
      <c r="BS30" s="114"/>
      <c r="BT30" s="114"/>
      <c r="BU30" s="114"/>
      <c r="BV30" s="114"/>
      <c r="BW30" s="114"/>
      <c r="BX30" s="114"/>
      <c r="BY30" s="114"/>
      <c r="BZ30" s="114"/>
      <c r="CA30" s="114"/>
      <c r="CB30" s="114"/>
      <c r="CC30" s="114"/>
      <c r="CD30" s="114"/>
      <c r="CE30" s="114"/>
      <c r="CF30" s="114"/>
      <c r="CG30" s="114"/>
      <c r="CH30" s="114"/>
      <c r="CI30" s="114"/>
    </row>
    <row r="31" spans="1:87" x14ac:dyDescent="0.25">
      <c r="A31" s="79" t="s">
        <v>86</v>
      </c>
      <c r="B31" s="79">
        <v>0</v>
      </c>
      <c r="C31" s="68">
        <v>0</v>
      </c>
      <c r="D31" s="79">
        <v>0</v>
      </c>
      <c r="E31" s="68">
        <f t="shared" si="0"/>
        <v>0</v>
      </c>
      <c r="F31" s="68" t="e">
        <f t="shared" si="1"/>
        <v>#DIV/0!</v>
      </c>
      <c r="H31" s="68"/>
      <c r="J31" s="68"/>
      <c r="L31" s="68"/>
      <c r="N31" s="68"/>
      <c r="P31" s="68"/>
      <c r="R31" s="68"/>
      <c r="T31" s="68"/>
      <c r="V31" s="68"/>
      <c r="X31" s="68"/>
      <c r="Z31" s="68"/>
      <c r="AB31" s="68"/>
      <c r="AC31" s="79"/>
    </row>
    <row r="32" spans="1:87" x14ac:dyDescent="0.25">
      <c r="A32" s="113" t="s">
        <v>114</v>
      </c>
      <c r="B32" s="113">
        <v>4</v>
      </c>
      <c r="C32" s="114">
        <v>1</v>
      </c>
      <c r="D32" s="113">
        <v>4</v>
      </c>
      <c r="E32" s="114">
        <f t="shared" si="0"/>
        <v>8</v>
      </c>
      <c r="F32" s="114">
        <f t="shared" si="1"/>
        <v>2</v>
      </c>
      <c r="G32" s="113">
        <v>1</v>
      </c>
      <c r="H32" s="114" t="s">
        <v>213</v>
      </c>
      <c r="I32" s="113">
        <v>1</v>
      </c>
      <c r="J32" s="114" t="s">
        <v>213</v>
      </c>
      <c r="K32" s="113" t="s">
        <v>213</v>
      </c>
      <c r="L32" s="114" t="s">
        <v>213</v>
      </c>
      <c r="M32" s="113"/>
      <c r="N32" s="114"/>
      <c r="O32" s="113">
        <v>3</v>
      </c>
      <c r="P32" s="114">
        <v>3</v>
      </c>
      <c r="Q32" s="113"/>
      <c r="R32" s="114"/>
      <c r="S32" s="113"/>
      <c r="T32" s="114"/>
      <c r="U32" s="113"/>
      <c r="V32" s="114"/>
      <c r="W32" s="113"/>
      <c r="X32" s="114"/>
      <c r="Y32" s="113"/>
      <c r="Z32" s="114"/>
      <c r="AA32" s="113"/>
      <c r="AB32" s="114"/>
      <c r="AC32" s="113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14"/>
      <c r="AS32" s="114"/>
      <c r="AT32" s="114"/>
      <c r="AU32" s="114"/>
      <c r="AV32" s="114"/>
      <c r="AW32" s="114"/>
      <c r="AX32" s="114"/>
      <c r="AY32" s="114"/>
      <c r="AZ32" s="114"/>
      <c r="BA32" s="114"/>
      <c r="BB32" s="114"/>
      <c r="BC32" s="114"/>
      <c r="BD32" s="114"/>
      <c r="BE32" s="114"/>
      <c r="BF32" s="114"/>
      <c r="BG32" s="114"/>
      <c r="BH32" s="114"/>
      <c r="BI32" s="114"/>
      <c r="BJ32" s="114"/>
      <c r="BK32" s="114"/>
      <c r="BL32" s="114"/>
      <c r="BM32" s="114"/>
      <c r="BN32" s="114"/>
      <c r="BO32" s="114"/>
      <c r="BP32" s="114"/>
      <c r="BQ32" s="114"/>
      <c r="BR32" s="114"/>
      <c r="BS32" s="114"/>
      <c r="BT32" s="114"/>
      <c r="BU32" s="114"/>
      <c r="BV32" s="114"/>
      <c r="BW32" s="114"/>
      <c r="BX32" s="114"/>
      <c r="BY32" s="114"/>
      <c r="BZ32" s="114"/>
      <c r="CA32" s="114"/>
      <c r="CB32" s="114"/>
      <c r="CC32" s="114"/>
      <c r="CD32" s="114"/>
      <c r="CE32" s="114"/>
      <c r="CF32" s="114"/>
      <c r="CG32" s="114"/>
      <c r="CH32" s="114"/>
      <c r="CI32" s="114"/>
    </row>
    <row r="33" spans="1:87" x14ac:dyDescent="0.25">
      <c r="A33" s="79" t="s">
        <v>77</v>
      </c>
      <c r="B33" s="79">
        <v>0</v>
      </c>
      <c r="C33" s="68">
        <v>0</v>
      </c>
      <c r="D33" s="79">
        <v>4</v>
      </c>
      <c r="E33" s="68">
        <f t="shared" si="0"/>
        <v>23</v>
      </c>
      <c r="F33" s="68">
        <f t="shared" si="1"/>
        <v>2.9</v>
      </c>
      <c r="G33" s="79">
        <v>3</v>
      </c>
      <c r="H33" s="68">
        <v>3</v>
      </c>
      <c r="I33" s="79">
        <v>2</v>
      </c>
      <c r="J33" s="68">
        <v>3</v>
      </c>
      <c r="L33" s="68"/>
      <c r="N33" s="68"/>
      <c r="O33" s="79">
        <v>3</v>
      </c>
      <c r="P33" s="68">
        <v>3</v>
      </c>
      <c r="Q33" s="5">
        <v>3</v>
      </c>
      <c r="R33" s="4">
        <v>3</v>
      </c>
      <c r="T33" s="68"/>
      <c r="V33" s="68"/>
      <c r="X33" s="68"/>
      <c r="Z33" s="68"/>
      <c r="AB33" s="68"/>
      <c r="AC33" s="79"/>
    </row>
    <row r="34" spans="1:87" x14ac:dyDescent="0.25">
      <c r="A34" s="113" t="s">
        <v>218</v>
      </c>
      <c r="B34" s="113">
        <v>0</v>
      </c>
      <c r="C34" s="114">
        <v>0</v>
      </c>
      <c r="D34" s="113">
        <v>6</v>
      </c>
      <c r="E34" s="114">
        <f t="shared" si="0"/>
        <v>26</v>
      </c>
      <c r="F34" s="114">
        <f t="shared" si="1"/>
        <v>1.9</v>
      </c>
      <c r="G34" s="113">
        <v>2</v>
      </c>
      <c r="H34" s="114">
        <v>3</v>
      </c>
      <c r="I34" s="113">
        <v>1</v>
      </c>
      <c r="J34" s="114">
        <v>1</v>
      </c>
      <c r="K34" s="113">
        <v>3</v>
      </c>
      <c r="L34" s="114">
        <v>2</v>
      </c>
      <c r="M34" s="113">
        <v>1</v>
      </c>
      <c r="N34" s="114">
        <v>2</v>
      </c>
      <c r="O34" s="113">
        <v>1</v>
      </c>
      <c r="P34" s="114">
        <v>1</v>
      </c>
      <c r="Q34" s="115">
        <v>1</v>
      </c>
      <c r="R34" s="116">
        <v>3</v>
      </c>
      <c r="S34" s="113"/>
      <c r="T34" s="114"/>
      <c r="U34" s="115">
        <v>3</v>
      </c>
      <c r="V34" s="116">
        <v>2</v>
      </c>
      <c r="W34" s="113"/>
      <c r="X34" s="114"/>
      <c r="Y34" s="113"/>
      <c r="Z34" s="114"/>
      <c r="AA34" s="113"/>
      <c r="AB34" s="114"/>
      <c r="AC34" s="113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  <c r="AS34" s="114"/>
      <c r="AT34" s="114"/>
      <c r="AU34" s="114"/>
      <c r="AV34" s="114"/>
      <c r="AW34" s="114"/>
      <c r="AX34" s="114"/>
      <c r="AY34" s="114"/>
      <c r="AZ34" s="114"/>
      <c r="BA34" s="114"/>
      <c r="BB34" s="114"/>
      <c r="BC34" s="114"/>
      <c r="BD34" s="114"/>
      <c r="BE34" s="114"/>
      <c r="BF34" s="114"/>
      <c r="BG34" s="114"/>
      <c r="BH34" s="114"/>
      <c r="BI34" s="114"/>
      <c r="BJ34" s="114"/>
      <c r="BK34" s="114"/>
      <c r="BL34" s="114"/>
      <c r="BM34" s="114"/>
      <c r="BN34" s="114"/>
      <c r="BO34" s="114"/>
      <c r="BP34" s="114"/>
      <c r="BQ34" s="114"/>
      <c r="BR34" s="114"/>
      <c r="BS34" s="114"/>
      <c r="BT34" s="114"/>
      <c r="BU34" s="114"/>
      <c r="BV34" s="114"/>
      <c r="BW34" s="114"/>
      <c r="BX34" s="114"/>
      <c r="BY34" s="114"/>
      <c r="BZ34" s="114"/>
      <c r="CA34" s="114"/>
      <c r="CB34" s="114"/>
      <c r="CC34" s="114"/>
      <c r="CD34" s="114"/>
      <c r="CE34" s="114"/>
      <c r="CF34" s="114"/>
      <c r="CG34" s="114"/>
      <c r="CH34" s="114"/>
      <c r="CI34" s="114"/>
    </row>
    <row r="35" spans="1:87" x14ac:dyDescent="0.25">
      <c r="A35" s="79" t="s">
        <v>72</v>
      </c>
      <c r="B35" s="79">
        <v>0</v>
      </c>
      <c r="C35" s="68">
        <v>0</v>
      </c>
      <c r="D35" s="79">
        <v>0</v>
      </c>
      <c r="E35" s="68">
        <f t="shared" si="0"/>
        <v>0</v>
      </c>
      <c r="F35" s="68" t="e">
        <f t="shared" si="1"/>
        <v>#DIV/0!</v>
      </c>
      <c r="H35" s="68"/>
      <c r="J35" s="68"/>
      <c r="L35" s="68"/>
      <c r="N35" s="68"/>
      <c r="P35" s="68"/>
      <c r="R35" s="68"/>
      <c r="T35" s="68"/>
      <c r="V35" s="68"/>
      <c r="X35" s="68"/>
      <c r="Z35" s="68"/>
      <c r="AB35" s="68"/>
      <c r="AC35" s="79"/>
    </row>
    <row r="36" spans="1:87" x14ac:dyDescent="0.25">
      <c r="A36" s="113" t="s">
        <v>74</v>
      </c>
      <c r="B36" s="113">
        <v>0</v>
      </c>
      <c r="C36" s="114">
        <v>0</v>
      </c>
      <c r="D36" s="113">
        <v>2</v>
      </c>
      <c r="E36" s="114">
        <f t="shared" si="0"/>
        <v>10</v>
      </c>
      <c r="F36" s="114">
        <f t="shared" si="1"/>
        <v>2.5</v>
      </c>
      <c r="G36" s="113"/>
      <c r="H36" s="114"/>
      <c r="I36" s="113"/>
      <c r="J36" s="114"/>
      <c r="K36" s="113"/>
      <c r="L36" s="114"/>
      <c r="M36" s="113"/>
      <c r="N36" s="114"/>
      <c r="O36" s="113">
        <v>3</v>
      </c>
      <c r="P36" s="114">
        <v>2</v>
      </c>
      <c r="Q36" s="115">
        <v>3</v>
      </c>
      <c r="R36" s="116">
        <v>2</v>
      </c>
      <c r="S36" s="113"/>
      <c r="T36" s="114"/>
      <c r="U36" s="113"/>
      <c r="V36" s="114"/>
      <c r="W36" s="113"/>
      <c r="X36" s="114"/>
      <c r="Y36" s="113"/>
      <c r="Z36" s="114"/>
      <c r="AA36" s="113"/>
      <c r="AB36" s="114"/>
      <c r="AC36" s="113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  <c r="AS36" s="114"/>
      <c r="AT36" s="114"/>
      <c r="AU36" s="114"/>
      <c r="AV36" s="114"/>
      <c r="AW36" s="114"/>
      <c r="AX36" s="114"/>
      <c r="AY36" s="114"/>
      <c r="AZ36" s="114"/>
      <c r="BA36" s="114"/>
      <c r="BB36" s="114"/>
      <c r="BC36" s="114"/>
      <c r="BD36" s="114"/>
      <c r="BE36" s="114"/>
      <c r="BF36" s="114"/>
      <c r="BG36" s="114"/>
      <c r="BH36" s="114"/>
      <c r="BI36" s="114"/>
      <c r="BJ36" s="114"/>
      <c r="BK36" s="114"/>
      <c r="BL36" s="114"/>
      <c r="BM36" s="114"/>
      <c r="BN36" s="114"/>
      <c r="BO36" s="114"/>
      <c r="BP36" s="114"/>
      <c r="BQ36" s="114"/>
      <c r="BR36" s="114"/>
      <c r="BS36" s="114"/>
      <c r="BT36" s="114"/>
      <c r="BU36" s="114"/>
      <c r="BV36" s="114"/>
      <c r="BW36" s="114"/>
      <c r="BX36" s="114"/>
      <c r="BY36" s="114"/>
      <c r="BZ36" s="114"/>
      <c r="CA36" s="114"/>
      <c r="CB36" s="114"/>
      <c r="CC36" s="114"/>
      <c r="CD36" s="114"/>
      <c r="CE36" s="114"/>
      <c r="CF36" s="114"/>
      <c r="CG36" s="114"/>
      <c r="CH36" s="114"/>
      <c r="CI36" s="114"/>
    </row>
    <row r="37" spans="1:87" x14ac:dyDescent="0.25">
      <c r="A37" s="79" t="s">
        <v>62</v>
      </c>
      <c r="B37" s="79">
        <v>2</v>
      </c>
      <c r="C37" s="68">
        <v>1</v>
      </c>
      <c r="D37" s="79">
        <v>2</v>
      </c>
      <c r="E37" s="68">
        <f t="shared" si="0"/>
        <v>5</v>
      </c>
      <c r="F37" s="68">
        <f t="shared" si="1"/>
        <v>2.5</v>
      </c>
      <c r="H37" s="68"/>
      <c r="J37" s="68"/>
      <c r="K37" s="79" t="s">
        <v>213</v>
      </c>
      <c r="L37" s="68" t="s">
        <v>213</v>
      </c>
      <c r="N37" s="68"/>
      <c r="P37" s="68"/>
      <c r="Q37" s="5">
        <v>2</v>
      </c>
      <c r="R37" s="4">
        <v>3</v>
      </c>
      <c r="T37" s="68"/>
      <c r="V37" s="68"/>
      <c r="X37" s="68"/>
      <c r="Z37" s="68"/>
      <c r="AB37" s="68"/>
      <c r="AC37" s="79"/>
    </row>
    <row r="38" spans="1:87" x14ac:dyDescent="0.25">
      <c r="A38" s="113" t="s">
        <v>43</v>
      </c>
      <c r="B38" s="113">
        <v>2</v>
      </c>
      <c r="C38" s="114">
        <v>1</v>
      </c>
      <c r="D38" s="113">
        <v>2</v>
      </c>
      <c r="E38" s="114">
        <f t="shared" si="0"/>
        <v>3</v>
      </c>
      <c r="F38" s="114">
        <f t="shared" si="1"/>
        <v>3</v>
      </c>
      <c r="G38" s="113" t="s">
        <v>213</v>
      </c>
      <c r="H38" s="114" t="s">
        <v>213</v>
      </c>
      <c r="I38" s="113"/>
      <c r="J38" s="114"/>
      <c r="K38" s="113"/>
      <c r="L38" s="114"/>
      <c r="M38" s="113"/>
      <c r="N38" s="114"/>
      <c r="O38" s="113">
        <v>3</v>
      </c>
      <c r="P38" s="114" t="s">
        <v>213</v>
      </c>
      <c r="Q38" s="113"/>
      <c r="R38" s="114"/>
      <c r="S38" s="113"/>
      <c r="T38" s="114"/>
      <c r="U38" s="113"/>
      <c r="V38" s="114"/>
      <c r="W38" s="113"/>
      <c r="X38" s="114"/>
      <c r="Y38" s="113"/>
      <c r="Z38" s="114"/>
      <c r="AA38" s="113"/>
      <c r="AB38" s="114"/>
      <c r="AC38" s="113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  <c r="AS38" s="114"/>
      <c r="AT38" s="114"/>
      <c r="AU38" s="114"/>
      <c r="AV38" s="114"/>
      <c r="AW38" s="114"/>
      <c r="AX38" s="114"/>
      <c r="AY38" s="114"/>
      <c r="AZ38" s="114"/>
      <c r="BA38" s="114"/>
      <c r="BB38" s="114"/>
      <c r="BC38" s="114"/>
      <c r="BD38" s="114"/>
      <c r="BE38" s="114"/>
      <c r="BF38" s="114"/>
      <c r="BG38" s="114"/>
      <c r="BH38" s="114"/>
      <c r="BI38" s="114"/>
      <c r="BJ38" s="114"/>
      <c r="BK38" s="114"/>
      <c r="BL38" s="114"/>
      <c r="BM38" s="114"/>
      <c r="BN38" s="114"/>
      <c r="BO38" s="114"/>
      <c r="BP38" s="114"/>
      <c r="BQ38" s="114"/>
      <c r="BR38" s="114"/>
      <c r="BS38" s="114"/>
      <c r="BT38" s="114"/>
      <c r="BU38" s="114"/>
      <c r="BV38" s="114"/>
      <c r="BW38" s="114"/>
      <c r="BX38" s="114"/>
      <c r="BY38" s="114"/>
      <c r="BZ38" s="114"/>
      <c r="CA38" s="114"/>
      <c r="CB38" s="114"/>
      <c r="CC38" s="114"/>
      <c r="CD38" s="114"/>
      <c r="CE38" s="114"/>
      <c r="CF38" s="114"/>
      <c r="CG38" s="114"/>
      <c r="CH38" s="114"/>
      <c r="CI38" s="114"/>
    </row>
    <row r="39" spans="1:87" x14ac:dyDescent="0.25">
      <c r="A39" s="79" t="s">
        <v>219</v>
      </c>
      <c r="B39" s="79">
        <v>0</v>
      </c>
      <c r="C39" s="68">
        <v>0</v>
      </c>
      <c r="D39" s="79">
        <v>1</v>
      </c>
      <c r="E39" s="68">
        <f t="shared" si="0"/>
        <v>2</v>
      </c>
      <c r="F39" s="68">
        <f t="shared" si="1"/>
        <v>1</v>
      </c>
      <c r="H39" s="68"/>
      <c r="J39" s="68"/>
      <c r="L39" s="68"/>
      <c r="N39" s="68"/>
      <c r="P39" s="68"/>
      <c r="R39" s="68"/>
      <c r="T39" s="68"/>
      <c r="U39" s="5">
        <v>1</v>
      </c>
      <c r="V39" s="4">
        <v>1</v>
      </c>
      <c r="X39" s="68"/>
      <c r="Z39" s="68"/>
      <c r="AB39" s="68"/>
      <c r="AC39" s="79"/>
    </row>
    <row r="40" spans="1:87" x14ac:dyDescent="0.25">
      <c r="A40" s="113" t="s">
        <v>220</v>
      </c>
      <c r="B40" s="113">
        <v>0</v>
      </c>
      <c r="C40" s="114">
        <v>0</v>
      </c>
      <c r="D40" s="113">
        <v>1</v>
      </c>
      <c r="E40" s="114">
        <f t="shared" si="0"/>
        <v>5</v>
      </c>
      <c r="F40" s="114">
        <f t="shared" si="1"/>
        <v>2.5</v>
      </c>
      <c r="G40" s="113"/>
      <c r="H40" s="114"/>
      <c r="I40" s="113"/>
      <c r="J40" s="114"/>
      <c r="K40" s="113"/>
      <c r="L40" s="114"/>
      <c r="M40" s="113"/>
      <c r="N40" s="114"/>
      <c r="O40" s="113"/>
      <c r="P40" s="114"/>
      <c r="Q40" s="113"/>
      <c r="R40" s="114"/>
      <c r="S40" s="113"/>
      <c r="T40" s="114"/>
      <c r="U40" s="115">
        <v>3</v>
      </c>
      <c r="V40" s="116">
        <v>2</v>
      </c>
      <c r="W40" s="113"/>
      <c r="X40" s="114"/>
      <c r="Y40" s="113"/>
      <c r="Z40" s="114"/>
      <c r="AA40" s="113"/>
      <c r="AB40" s="114"/>
      <c r="AC40" s="113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  <c r="AS40" s="114"/>
      <c r="AT40" s="114"/>
      <c r="AU40" s="114"/>
      <c r="AV40" s="114"/>
      <c r="AW40" s="114"/>
      <c r="AX40" s="114"/>
      <c r="AY40" s="114"/>
      <c r="AZ40" s="114"/>
      <c r="BA40" s="114"/>
      <c r="BB40" s="114"/>
      <c r="BC40" s="114"/>
      <c r="BD40" s="114"/>
      <c r="BE40" s="114"/>
      <c r="BF40" s="114"/>
      <c r="BG40" s="114"/>
      <c r="BH40" s="114"/>
      <c r="BI40" s="114"/>
      <c r="BJ40" s="114"/>
      <c r="BK40" s="114"/>
      <c r="BL40" s="114"/>
      <c r="BM40" s="114"/>
      <c r="BN40" s="114"/>
      <c r="BO40" s="114"/>
      <c r="BP40" s="114"/>
      <c r="BQ40" s="114"/>
      <c r="BR40" s="114"/>
      <c r="BS40" s="114"/>
      <c r="BT40" s="114"/>
      <c r="BU40" s="114"/>
      <c r="BV40" s="114"/>
      <c r="BW40" s="114"/>
      <c r="BX40" s="114"/>
      <c r="BY40" s="114"/>
      <c r="BZ40" s="114"/>
      <c r="CA40" s="114"/>
      <c r="CB40" s="114"/>
      <c r="CC40" s="114"/>
      <c r="CD40" s="114"/>
      <c r="CE40" s="114"/>
      <c r="CF40" s="114"/>
      <c r="CG40" s="114"/>
      <c r="CH40" s="114"/>
      <c r="CI40" s="114"/>
    </row>
    <row r="41" spans="1:87" x14ac:dyDescent="0.25">
      <c r="A41" s="79" t="s">
        <v>221</v>
      </c>
      <c r="B41" s="79">
        <v>0</v>
      </c>
      <c r="C41" s="68">
        <v>0</v>
      </c>
      <c r="D41" s="79">
        <v>0</v>
      </c>
      <c r="E41" s="68">
        <f t="shared" si="0"/>
        <v>0</v>
      </c>
      <c r="F41" s="68" t="e">
        <f t="shared" si="1"/>
        <v>#DIV/0!</v>
      </c>
      <c r="H41" s="68"/>
      <c r="J41" s="68"/>
      <c r="L41" s="68"/>
      <c r="N41" s="68"/>
      <c r="P41" s="68"/>
      <c r="R41" s="68"/>
      <c r="T41" s="68"/>
      <c r="V41" s="68"/>
      <c r="X41" s="68"/>
      <c r="Z41" s="68"/>
      <c r="AB41" s="68"/>
      <c r="AC41" s="79"/>
    </row>
    <row r="42" spans="1:87" x14ac:dyDescent="0.25">
      <c r="A42" s="113" t="s">
        <v>222</v>
      </c>
      <c r="B42" s="113">
        <v>0</v>
      </c>
      <c r="C42" s="114">
        <v>0</v>
      </c>
      <c r="D42" s="113">
        <v>0</v>
      </c>
      <c r="E42" s="114">
        <f t="shared" si="0"/>
        <v>0</v>
      </c>
      <c r="F42" s="114" t="e">
        <f t="shared" si="1"/>
        <v>#DIV/0!</v>
      </c>
      <c r="G42" s="113"/>
      <c r="H42" s="114"/>
      <c r="I42" s="113"/>
      <c r="J42" s="114"/>
      <c r="K42" s="113"/>
      <c r="L42" s="114"/>
      <c r="M42" s="113"/>
      <c r="N42" s="114"/>
      <c r="O42" s="113"/>
      <c r="P42" s="114"/>
      <c r="Q42" s="113"/>
      <c r="R42" s="114"/>
      <c r="S42" s="113"/>
      <c r="T42" s="114"/>
      <c r="U42" s="113"/>
      <c r="V42" s="114"/>
      <c r="W42" s="113"/>
      <c r="X42" s="114"/>
      <c r="Y42" s="113"/>
      <c r="Z42" s="114"/>
      <c r="AA42" s="113"/>
      <c r="AB42" s="114"/>
      <c r="AC42" s="113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114"/>
      <c r="BE42" s="114"/>
      <c r="BF42" s="114"/>
      <c r="BG42" s="114"/>
      <c r="BH42" s="114"/>
      <c r="BI42" s="114"/>
      <c r="BJ42" s="114"/>
      <c r="BK42" s="114"/>
      <c r="BL42" s="114"/>
      <c r="BM42" s="114"/>
      <c r="BN42" s="114"/>
      <c r="BO42" s="114"/>
      <c r="BP42" s="114"/>
      <c r="BQ42" s="114"/>
      <c r="BR42" s="114"/>
      <c r="BS42" s="114"/>
      <c r="BT42" s="114"/>
      <c r="BU42" s="114"/>
      <c r="BV42" s="114"/>
      <c r="BW42" s="114"/>
      <c r="BX42" s="114"/>
      <c r="BY42" s="114"/>
      <c r="BZ42" s="114"/>
      <c r="CA42" s="114"/>
      <c r="CB42" s="114"/>
      <c r="CC42" s="114"/>
      <c r="CD42" s="114"/>
      <c r="CE42" s="114"/>
      <c r="CF42" s="114"/>
      <c r="CG42" s="114"/>
      <c r="CH42" s="114"/>
      <c r="CI42" s="114"/>
    </row>
    <row r="43" spans="1:87" x14ac:dyDescent="0.25">
      <c r="A43" s="79" t="s">
        <v>223</v>
      </c>
      <c r="B43" s="79">
        <v>0</v>
      </c>
      <c r="C43" s="68">
        <v>0</v>
      </c>
      <c r="D43" s="79">
        <v>0</v>
      </c>
      <c r="E43" s="68">
        <f t="shared" si="0"/>
        <v>0</v>
      </c>
      <c r="F43" s="68" t="e">
        <f t="shared" si="1"/>
        <v>#DIV/0!</v>
      </c>
      <c r="H43" s="68"/>
      <c r="J43" s="68"/>
      <c r="L43" s="68"/>
      <c r="N43" s="68"/>
      <c r="P43" s="68"/>
      <c r="R43" s="68"/>
      <c r="T43" s="68"/>
      <c r="V43" s="68"/>
      <c r="X43" s="68"/>
      <c r="Z43" s="68"/>
      <c r="AB43" s="68"/>
      <c r="AC43" s="79"/>
    </row>
    <row r="44" spans="1:87" x14ac:dyDescent="0.25">
      <c r="A44" s="113" t="s">
        <v>224</v>
      </c>
      <c r="B44" s="113">
        <v>0</v>
      </c>
      <c r="C44" s="114">
        <v>0</v>
      </c>
      <c r="D44" s="113">
        <v>0</v>
      </c>
      <c r="E44" s="114">
        <f t="shared" si="0"/>
        <v>0</v>
      </c>
      <c r="F44" s="114" t="e">
        <f t="shared" si="1"/>
        <v>#DIV/0!</v>
      </c>
      <c r="G44" s="113"/>
      <c r="H44" s="114"/>
      <c r="I44" s="113"/>
      <c r="J44" s="114"/>
      <c r="K44" s="113"/>
      <c r="L44" s="114"/>
      <c r="M44" s="113"/>
      <c r="N44" s="114"/>
      <c r="O44" s="113"/>
      <c r="P44" s="114"/>
      <c r="Q44" s="113"/>
      <c r="R44" s="114"/>
      <c r="S44" s="113"/>
      <c r="T44" s="114"/>
      <c r="U44" s="113"/>
      <c r="V44" s="114"/>
      <c r="W44" s="113"/>
      <c r="X44" s="114"/>
      <c r="Y44" s="113"/>
      <c r="Z44" s="114"/>
      <c r="AA44" s="113"/>
      <c r="AB44" s="114"/>
      <c r="AC44" s="113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  <c r="AS44" s="114"/>
      <c r="AT44" s="114"/>
      <c r="AU44" s="114"/>
      <c r="AV44" s="114"/>
      <c r="AW44" s="114"/>
      <c r="AX44" s="114"/>
      <c r="AY44" s="114"/>
      <c r="AZ44" s="114"/>
      <c r="BA44" s="114"/>
      <c r="BB44" s="114"/>
      <c r="BC44" s="114"/>
      <c r="BD44" s="114"/>
      <c r="BE44" s="114"/>
      <c r="BF44" s="114"/>
      <c r="BG44" s="114"/>
      <c r="BH44" s="114"/>
      <c r="BI44" s="114"/>
      <c r="BJ44" s="114"/>
      <c r="BK44" s="114"/>
      <c r="BL44" s="114"/>
      <c r="BM44" s="114"/>
      <c r="BN44" s="114"/>
      <c r="BO44" s="114"/>
      <c r="BP44" s="114"/>
      <c r="BQ44" s="114"/>
      <c r="BR44" s="114"/>
      <c r="BS44" s="114"/>
      <c r="BT44" s="114"/>
      <c r="BU44" s="114"/>
      <c r="BV44" s="114"/>
      <c r="BW44" s="114"/>
      <c r="BX44" s="114"/>
      <c r="BY44" s="114"/>
      <c r="BZ44" s="114"/>
      <c r="CA44" s="114"/>
      <c r="CB44" s="114"/>
      <c r="CC44" s="114"/>
      <c r="CD44" s="114"/>
      <c r="CE44" s="114"/>
      <c r="CF44" s="114"/>
      <c r="CG44" s="114"/>
      <c r="CH44" s="114"/>
      <c r="CI44" s="114"/>
    </row>
    <row r="45" spans="1:87" x14ac:dyDescent="0.25">
      <c r="A45" s="79" t="s">
        <v>225</v>
      </c>
      <c r="B45" s="79">
        <v>0</v>
      </c>
      <c r="C45" s="68">
        <v>0</v>
      </c>
      <c r="D45" s="79">
        <v>0</v>
      </c>
      <c r="E45" s="68">
        <f t="shared" si="0"/>
        <v>0</v>
      </c>
      <c r="F45" s="68" t="e">
        <f t="shared" si="1"/>
        <v>#DIV/0!</v>
      </c>
      <c r="H45" s="68"/>
      <c r="J45" s="68"/>
      <c r="L45" s="68"/>
      <c r="N45" s="68"/>
      <c r="P45" s="68"/>
      <c r="R45" s="68"/>
      <c r="T45" s="68"/>
      <c r="V45" s="68"/>
      <c r="X45" s="68"/>
      <c r="Z45" s="68"/>
      <c r="AB45" s="68"/>
      <c r="AC45" s="79"/>
    </row>
  </sheetData>
  <autoFilter ref="A1:CL1" xr:uid="{00000000-0001-0000-05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2026-01-16T14:32:06Z</dcterms:modified>
</cp:coreProperties>
</file>