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4B06C869-4146-4B25-BC7B-FB93318241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2" l="1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<sst xmlns="http://schemas.openxmlformats.org/spreadsheetml/2006/main" count="310" uniqueCount="177">
  <si>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</si>
  <si>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</si>
  <si>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</si>
  <si>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</si>
  <si>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</si>
  <si>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</si>
  <si>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</si>
  <si>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</si>
  <si>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</si>
  <si>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</si>
  <si>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</si>
  <si>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</si>
  <si>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</si>
  <si>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</si>
  <si>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</si>
  <si>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</si>
  <si>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</si>
  <si>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</si>
  <si>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</si>
  <si>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LELE11GAM3R</t>
  </si>
  <si>
    <t>marcojk007</t>
  </si>
  <si>
    <t>Rosario</t>
  </si>
  <si>
    <t>Chabby</t>
  </si>
  <si>
    <t>Matty7_</t>
  </si>
  <si>
    <t>kakko garau</t>
  </si>
  <si>
    <t>shark</t>
  </si>
  <si>
    <t>Alaa</t>
  </si>
  <si>
    <t>giosan</t>
  </si>
  <si>
    <t>⚡️ZAC⚡️</t>
  </si>
  <si>
    <t>hh</t>
  </si>
  <si>
    <t>ER DANDI 1927</t>
  </si>
  <si>
    <t>king</t>
  </si>
  <si>
    <t>Cleopatra</t>
  </si>
  <si>
    <t>EdoDodo</t>
  </si>
  <si>
    <t>BigMc23</t>
  </si>
  <si>
    <t>SubOhm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</si>
  <si>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</si>
  <si>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</si>
  <si>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</si>
  <si>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</si>
  <si>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</si>
  <si>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</si>
  <si>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</si>
  <si>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</si>
  <si>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</si>
  <si>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Floky23</t>
  </si>
  <si>
    <t>RobbyCV</t>
  </si>
  <si>
    <t>Brazo</t>
  </si>
  <si>
    <t>Roberta</t>
  </si>
  <si>
    <t>dado</t>
  </si>
  <si>
    <t>pigiamone99</t>
  </si>
  <si>
    <t>sidcu js</t>
  </si>
  <si>
    <t>serra008</t>
  </si>
  <si>
    <t>gionny</t>
  </si>
  <si>
    <t>Luxor</t>
  </si>
  <si>
    <t>buff x-bow</t>
  </si>
  <si>
    <t>th4nos</t>
  </si>
  <si>
    <t>maikol_lix</t>
  </si>
  <si>
    <t>zombra</t>
  </si>
  <si>
    <t>Luigi</t>
  </si>
  <si>
    <t>xbladze</t>
  </si>
  <si>
    <t>Stentaaa</t>
  </si>
  <si>
    <t>luigi01</t>
  </si>
  <si>
    <t>Simone</t>
  </si>
  <si>
    <t>leo</t>
  </si>
  <si>
    <t>ajejebrazorf</t>
  </si>
  <si>
    <t>HikariNoRob</t>
  </si>
  <si>
    <t>haha</t>
  </si>
  <si>
    <t>piegian99</t>
  </si>
  <si>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</si>
  <si>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</si>
  <si>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</si>
  <si>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</si>
  <si>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</si>
  <si>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</si>
  <si>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</si>
  <si>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</si>
  <si>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</si>
  <si>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</si>
  <si>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</si>
  <si>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22/05/2026</t>
  </si>
  <si>
    <t>22/06/2026</t>
  </si>
  <si>
    <t>22/07/2026</t>
  </si>
  <si>
    <t>22/08/2026</t>
  </si>
  <si>
    <t>22/09/2026</t>
  </si>
  <si>
    <t>22/10/2027</t>
  </si>
  <si>
    <t>22/11/2026</t>
  </si>
  <si>
    <t>22/12/2026</t>
  </si>
  <si>
    <t>22/01/2027</t>
  </si>
  <si>
    <t>22/02/2027</t>
  </si>
  <si>
    <t>22/03/2027</t>
  </si>
  <si>
    <t>22/04/2027</t>
  </si>
  <si>
    <t>22/05/2027</t>
  </si>
  <si>
    <t>22/06/2027</t>
  </si>
  <si>
    <t>22/07/2027</t>
  </si>
  <si>
    <t>22/08/2027</t>
  </si>
  <si>
    <t>22/09/2027</t>
  </si>
  <si>
    <t>22/11/2027</t>
  </si>
  <si>
    <t>22/12/2027</t>
  </si>
  <si>
    <t>22/01/2028</t>
  </si>
  <si>
    <t>22/02/2028</t>
  </si>
  <si>
    <t>22/03/2028</t>
  </si>
  <si>
    <t>cucco</t>
  </si>
  <si>
    <t>21/02/2026</t>
  </si>
  <si>
    <t>15/12/2025</t>
  </si>
  <si>
    <t>Luca</t>
  </si>
  <si>
    <t>21/03/2026</t>
  </si>
  <si>
    <t>PIPPII</t>
  </si>
  <si>
    <t>16/01/2026</t>
  </si>
  <si>
    <t/>
  </si>
  <si>
    <t>Amazonie</t>
  </si>
  <si>
    <t>alhfmfh</t>
  </si>
  <si>
    <t>MIRIAM MIRIAM</t>
  </si>
  <si>
    <t>revolver</t>
  </si>
  <si>
    <t>GiornoBrando</t>
  </si>
  <si>
    <t>21/12/2025</t>
  </si>
  <si>
    <t>Kle</t>
  </si>
  <si>
    <t>25/01/2026</t>
  </si>
  <si>
    <t>655321</t>
  </si>
  <si>
    <t>Edoardo9</t>
  </si>
  <si>
    <t>zordan</t>
  </si>
  <si>
    <t>Juri</t>
  </si>
  <si>
    <t>21/04/2026</t>
  </si>
  <si>
    <t>Anto</t>
  </si>
  <si>
    <t>ajaz064</t>
  </si>
  <si>
    <t>Anonymous</t>
  </si>
  <si>
    <t>nanni</t>
  </si>
  <si>
    <t>09/05/2026</t>
  </si>
  <si>
    <t>xNullx</t>
  </si>
  <si>
    <t>DJ Tony</t>
  </si>
  <si>
    <t>TinoGiusa</t>
  </si>
  <si>
    <t>cesadjsocc</t>
  </si>
  <si>
    <t>i love nutella</t>
  </si>
  <si>
    <t>El sushino</t>
  </si>
  <si>
    <t>fhhgggf</t>
  </si>
  <si>
    <t>Francesco10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</si>
  <si>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</si>
  <si>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</si>
  <si>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</si>
  <si>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</si>
  <si>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</si>
  <si>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</si>
  <si>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</si>
  <si>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</si>
  <si>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</si>
  <si>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</si>
  <si>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</si>
  <si>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</si>
  <si>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</si>
  <si>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</si>
  <si>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</si>
  <si>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</si>
  <si>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</si>
  <si>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</si>
  <si>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03/04/2026</t>
  </si>
  <si>
    <t>10/04/2026</t>
  </si>
  <si>
    <t>17/04/2026</t>
  </si>
  <si>
    <t>24/04/2026</t>
  </si>
  <si>
    <t>01/05/2026</t>
  </si>
  <si>
    <t>08/05/2026</t>
  </si>
  <si>
    <t>Colonna27</t>
  </si>
  <si>
    <t>Colonna28</t>
  </si>
  <si>
    <t>Colonna29</t>
  </si>
  <si>
    <t>Colonna30</t>
  </si>
  <si>
    <t>Colonna31</t>
  </si>
  <si>
    <t>Colonna32</t>
  </si>
  <si>
    <t>12/01/2026</t>
  </si>
  <si>
    <t>14/02/2026</t>
  </si>
  <si>
    <t>07/02/2026</t>
  </si>
  <si>
    <t>23/03/2026</t>
  </si>
  <si>
    <t>02/03/2026</t>
  </si>
  <si>
    <t>05/01/2026</t>
  </si>
  <si>
    <t>29/03/2026</t>
  </si>
  <si>
    <t>04/04/2026</t>
  </si>
  <si>
    <t>18/04/2026</t>
  </si>
  <si>
    <t>25/04/2026</t>
  </si>
  <si>
    <t>02/05/2026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</si>
</sst>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49" fontId="0" fillId="0" borderId="1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49" fontId="1" fillId="3" borderId="10" xfId="0" applyNumberFormat="1" applyFont="1" applyFill="1" applyBorder="1" applyAlignment="1">
      <alignment horizontal="left"/>
    </xf>
    <xf numFmtId="49" fontId="1" fillId="3" borderId="4" xfId="0" applyNumberFormat="1" applyFont="1" applyFill="1" applyBorder="1" applyAlignment="1">
      <alignment horizontal="left"/>
    </xf>
    <xf numFmtId="49" fontId="1" fillId="3" borderId="12" xfId="0" applyNumberFormat="1" applyFont="1" applyFill="1" applyBorder="1" applyAlignment="1">
      <alignment horizontal="left"/>
    </xf>
    <xf numFmtId="49" fontId="1" fillId="3" borderId="5" xfId="0" applyNumberFormat="1" applyFont="1" applyFill="1" applyBorder="1" applyAlignment="1">
      <alignment horizontal="left"/>
    </xf>
    <xf numFmtId="49" fontId="1" fillId="4" borderId="0" xfId="0" applyNumberFormat="1" applyFont="1" applyFill="1" applyAlignment="1">
      <alignment horizontal="left"/>
    </xf>
    <xf numFmtId="49" fontId="0" fillId="0" borderId="11" xfId="0" applyNumberFormat="1" applyBorder="1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4"/>
  <sheetViews>
    <sheetView tabSelected="1" zoomScaleNormal="100" workbookViewId="0">
      <selection activeCell="P9" sqref="P9"/>
    </sheetView>
  </sheetViews>
  <sheetFormatPr defaultRowHeight="16.5" customHeight="1" x14ac:dyDescent="0.25"/>
  <cols>
    <col min="1" max="1" width="14.28515625" style="15" customWidth="1"/>
    <col min="2" max="2" width="16.28515625" style="27" customWidth="1"/>
    <col min="3" max="3" width="13" style="17" customWidth="1"/>
    <col min="4" max="4" width="9.85546875" style="18" customWidth="1"/>
    <col min="5" max="5" width="13.140625" style="1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4" width="11.7109375" customWidth="1"/>
    <col min="15" max="22" width="12.7109375" customWidth="1"/>
    <col min="23" max="26" width="12.5703125" customWidth="1"/>
    <col min="27" max="30" width="10.42578125" bestFit="1" customWidth="1"/>
    <col min="31" max="31" width="15.42578125" customWidth="1"/>
    <col min="32" max="32" width="14.7109375" customWidth="1"/>
    <col min="33" max="33" width="12.85546875" customWidth="1"/>
    <col min="34" max="34" width="13.85546875" customWidth="1"/>
    <col min="35" max="35" width="13.5703125" customWidth="1"/>
  </cols>
  <sheetData>
    <row r="1" spans="1:34" s="26" customFormat="1" ht="16.5" customHeight="1" x14ac:dyDescent="0.25">
      <c r="A1" s="22" t="s">
        <v>69</v>
      </c>
      <c r="B1" s="22" t="s">
        <v>70</v>
      </c>
      <c r="C1" s="23" t="s">
        <v>71</v>
      </c>
      <c r="D1" s="24" t="s">
        <v>72</v>
      </c>
      <c r="E1" s="22" t="s">
        <v>73</v>
      </c>
      <c r="F1" s="25" t="s">
        <v>74</v>
      </c>
      <c r="G1" s="25" t="s">
        <v>75</v>
      </c>
      <c r="H1" s="25" t="s">
        <v>76</v>
      </c>
      <c r="I1" s="25" t="s">
        <v>77</v>
      </c>
      <c r="J1" s="25" t="s">
        <v>78</v>
      </c>
      <c r="K1" s="25" t="s">
        <v>79</v>
      </c>
      <c r="L1" s="25" t="s">
        <v>80</v>
      </c>
      <c r="M1" s="25" t="s">
        <v>81</v>
      </c>
      <c r="N1" s="25" t="s">
        <v>82</v>
      </c>
      <c r="O1" s="26" t="s">
        <v>83</v>
      </c>
      <c r="P1" s="26" t="s">
        <v>84</v>
      </c>
      <c r="Q1" s="26" t="s">
        <v>85</v>
      </c>
      <c r="R1" s="26" t="s">
        <v>86</v>
      </c>
      <c r="S1" s="26" t="s">
        <v>87</v>
      </c>
      <c r="T1" s="26" t="s">
        <v>88</v>
      </c>
      <c r="U1" s="26" t="s">
        <v>89</v>
      </c>
      <c r="V1" s="26" t="s">
        <v>90</v>
      </c>
      <c r="W1" s="26" t="s">
        <v>91</v>
      </c>
      <c r="X1" s="26" t="s">
        <v>92</v>
      </c>
      <c r="Y1" s="26" t="s">
        <v>93</v>
      </c>
      <c r="Z1" s="26" t="s">
        <v>94</v>
      </c>
      <c r="AA1" s="26" t="s">
        <v>95</v>
      </c>
      <c r="AB1" s="26" t="s">
        <v>96</v>
      </c>
      <c r="AC1" s="26" t="s">
        <v>85</v>
      </c>
      <c r="AD1" s="26" t="s">
        <v>97</v>
      </c>
      <c r="AE1" s="26" t="s">
        <v>98</v>
      </c>
      <c r="AF1" s="26" t="s">
        <v>99</v>
      </c>
      <c r="AG1" s="26" t="s">
        <v>100</v>
      </c>
      <c r="AH1" s="26" t="s">
        <v>101</v>
      </c>
    </row>
    <row r="2" spans="1:34" ht="16.5" customHeight="1" x14ac:dyDescent="0.25">
      <c r="A2" s="14" t="s">
        <v>102</v>
      </c>
      <c r="B2" s="16" t="s">
        <v>103</v>
      </c>
      <c r="C2" s="12">
        <f t="shared" ref="C2:C44" si="0">ROUND(AVERAGE(F2:AO2), 0)</f>
        <v>10000</v>
      </c>
      <c r="D2" s="1">
        <f t="shared" ref="D2:D44" si="1">SUM(F2:AO2)</f>
        <v>20000</v>
      </c>
      <c r="E2" s="14">
        <v>31350</v>
      </c>
      <c r="F2" s="13"/>
      <c r="G2" s="13"/>
      <c r="H2" s="13"/>
      <c r="I2" s="13"/>
      <c r="J2" s="13">
        <v>10000</v>
      </c>
      <c r="K2" s="13">
        <v>10000</v>
      </c>
      <c r="L2" s="13"/>
    </row>
    <row r="3" spans="1:34" ht="16.5" customHeight="1" x14ac:dyDescent="0.25">
      <c r="A3" s="14" t="s">
        <v>53</v>
      </c>
      <c r="B3" s="16" t="s">
        <v>104</v>
      </c>
      <c r="C3" s="12">
        <f t="shared" si="0"/>
        <v>6060</v>
      </c>
      <c r="D3" s="1">
        <f t="shared" si="1"/>
        <v>30300</v>
      </c>
      <c r="E3" s="14">
        <v>22000</v>
      </c>
      <c r="F3" s="13"/>
      <c r="G3" s="13">
        <v>0</v>
      </c>
      <c r="H3" s="13">
        <v>6050</v>
      </c>
      <c r="I3" s="13">
        <v>8300</v>
      </c>
      <c r="J3" s="13">
        <v>5950</v>
      </c>
      <c r="K3" s="13">
        <v>10000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4" spans="1:34" ht="16.5" customHeight="1" x14ac:dyDescent="0.25">
      <c r="A4" s="14" t="s">
        <v>67</v>
      </c>
      <c r="B4" s="16" t="s">
        <v>104</v>
      </c>
      <c r="C4" s="12">
        <f t="shared" si="0"/>
        <v>8000</v>
      </c>
      <c r="D4" s="1">
        <f t="shared" si="1"/>
        <v>48000</v>
      </c>
      <c r="E4" s="14">
        <v>47650</v>
      </c>
      <c r="F4" s="13">
        <v>4000</v>
      </c>
      <c r="G4" s="13">
        <v>4000</v>
      </c>
      <c r="H4" s="13">
        <v>10000</v>
      </c>
      <c r="I4" s="13">
        <v>10000</v>
      </c>
      <c r="J4" s="13">
        <v>10000</v>
      </c>
      <c r="K4" s="13">
        <v>10000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34" ht="16.5" customHeight="1" x14ac:dyDescent="0.25">
      <c r="A5" s="14" t="s">
        <v>64</v>
      </c>
      <c r="B5" s="16" t="s">
        <v>104</v>
      </c>
      <c r="C5" s="12">
        <f t="shared" si="0"/>
        <v>8800</v>
      </c>
      <c r="D5" s="1">
        <f t="shared" si="1"/>
        <v>44000</v>
      </c>
      <c r="E5" s="14">
        <v>55400</v>
      </c>
      <c r="F5" s="13"/>
      <c r="G5" s="13">
        <v>4000</v>
      </c>
      <c r="H5" s="13">
        <v>10000</v>
      </c>
      <c r="I5" s="13">
        <v>10000</v>
      </c>
      <c r="J5" s="13">
        <v>10000</v>
      </c>
      <c r="K5" s="13">
        <v>10000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34" ht="16.5" customHeight="1" x14ac:dyDescent="0.25">
      <c r="A6" s="14" t="s">
        <v>105</v>
      </c>
      <c r="B6" s="16" t="s">
        <v>106</v>
      </c>
      <c r="C6" s="12">
        <f t="shared" si="0"/>
        <v>10000</v>
      </c>
      <c r="D6" s="1">
        <f t="shared" si="1"/>
        <v>10000</v>
      </c>
      <c r="E6" s="14">
        <v>5500</v>
      </c>
      <c r="F6" s="13"/>
      <c r="G6" s="13"/>
      <c r="H6" s="13"/>
      <c r="I6" s="13"/>
      <c r="J6" s="13"/>
      <c r="K6" s="13">
        <v>10000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spans="1:34" ht="16.5" customHeight="1" x14ac:dyDescent="0.25">
      <c r="A7" s="14" t="s">
        <v>68</v>
      </c>
      <c r="B7" s="16" t="s">
        <v>104</v>
      </c>
      <c r="C7" s="12">
        <f t="shared" si="0"/>
        <v>10000</v>
      </c>
      <c r="D7" s="1">
        <f t="shared" si="1"/>
        <v>40000</v>
      </c>
      <c r="E7" s="14">
        <v>58700</v>
      </c>
      <c r="F7" s="13"/>
      <c r="G7" s="13"/>
      <c r="H7" s="13">
        <v>10000</v>
      </c>
      <c r="I7" s="13">
        <v>10000</v>
      </c>
      <c r="J7" s="13">
        <v>10000</v>
      </c>
      <c r="K7" s="13">
        <v>10000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4" ht="16.5" customHeight="1" x14ac:dyDescent="0.25">
      <c r="A8" s="14" t="s">
        <v>50</v>
      </c>
      <c r="B8" s="16" t="s">
        <v>104</v>
      </c>
      <c r="C8" s="12">
        <f t="shared" si="0"/>
        <v>10000</v>
      </c>
      <c r="D8" s="1">
        <f t="shared" si="1"/>
        <v>40000</v>
      </c>
      <c r="E8" s="14">
        <v>51200</v>
      </c>
      <c r="F8" s="13"/>
      <c r="G8" s="13"/>
      <c r="H8" s="13">
        <v>10000</v>
      </c>
      <c r="I8" s="13">
        <v>10000</v>
      </c>
      <c r="J8" s="13">
        <v>10000</v>
      </c>
      <c r="K8" s="13">
        <v>10000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spans="1:34" ht="16.5" customHeight="1" x14ac:dyDescent="0.25">
      <c r="A9" s="14" t="s">
        <v>107</v>
      </c>
      <c r="B9" s="16" t="s">
        <v>108</v>
      </c>
      <c r="C9" s="12">
        <f t="shared" si="0"/>
        <v>10000</v>
      </c>
      <c r="D9" s="1">
        <f t="shared" si="1"/>
        <v>30000</v>
      </c>
      <c r="E9" s="14">
        <v>106725</v>
      </c>
      <c r="F9" s="13"/>
      <c r="G9" s="13"/>
      <c r="H9" s="13"/>
      <c r="I9" s="13">
        <v>10000</v>
      </c>
      <c r="J9" s="13">
        <v>10000</v>
      </c>
      <c r="K9" s="13">
        <v>10000</v>
      </c>
      <c r="L9" s="13"/>
      <c r="M9" s="13"/>
      <c r="N9" s="13"/>
      <c r="O9" s="13" t="s">
        <v>109</v>
      </c>
      <c r="P9" s="13"/>
      <c r="Q9" s="13"/>
      <c r="R9" s="13"/>
      <c r="S9" s="13"/>
      <c r="T9" s="13"/>
      <c r="U9" s="13"/>
      <c r="V9" s="13"/>
    </row>
    <row r="10" spans="1:34" ht="16.5" customHeight="1" x14ac:dyDescent="0.25">
      <c r="A10" s="14" t="s">
        <v>60</v>
      </c>
      <c r="B10" s="16" t="s">
        <v>104</v>
      </c>
      <c r="C10" s="12">
        <f t="shared" si="0"/>
        <v>5663</v>
      </c>
      <c r="D10" s="1">
        <f t="shared" si="1"/>
        <v>22650</v>
      </c>
      <c r="E10" s="14">
        <v>109220</v>
      </c>
      <c r="F10" s="13"/>
      <c r="G10" s="13"/>
      <c r="H10" s="13">
        <v>3850</v>
      </c>
      <c r="I10" s="13">
        <v>10000</v>
      </c>
      <c r="J10" s="13">
        <v>0</v>
      </c>
      <c r="K10" s="13">
        <v>8800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spans="1:34" ht="16.5" customHeight="1" x14ac:dyDescent="0.25">
      <c r="A11" s="14" t="s">
        <v>59</v>
      </c>
      <c r="B11" s="16" t="s">
        <v>104</v>
      </c>
      <c r="C11" s="12">
        <f t="shared" si="0"/>
        <v>9650</v>
      </c>
      <c r="D11" s="1">
        <f t="shared" si="1"/>
        <v>38600</v>
      </c>
      <c r="E11" s="14">
        <v>56300</v>
      </c>
      <c r="F11" s="13"/>
      <c r="G11" s="13"/>
      <c r="H11" s="13">
        <v>10000</v>
      </c>
      <c r="I11" s="13">
        <v>10000</v>
      </c>
      <c r="J11" s="13">
        <v>10000</v>
      </c>
      <c r="K11" s="13">
        <v>8600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spans="1:34" ht="16.5" customHeight="1" x14ac:dyDescent="0.25">
      <c r="A12" s="14" t="s">
        <v>63</v>
      </c>
      <c r="B12" s="16" t="s">
        <v>104</v>
      </c>
      <c r="C12" s="12">
        <f t="shared" si="0"/>
        <v>5820</v>
      </c>
      <c r="D12" s="1">
        <f t="shared" si="1"/>
        <v>29100</v>
      </c>
      <c r="E12" s="14">
        <v>27500</v>
      </c>
      <c r="F12" s="13"/>
      <c r="G12" s="13">
        <v>4000</v>
      </c>
      <c r="H12" s="13">
        <v>10000</v>
      </c>
      <c r="I12" s="13">
        <v>4500</v>
      </c>
      <c r="J12" s="13">
        <v>4300</v>
      </c>
      <c r="K12" s="13">
        <v>6300</v>
      </c>
      <c r="L12" s="13"/>
      <c r="M12" s="13"/>
      <c r="N12" s="13"/>
      <c r="O12" s="13"/>
      <c r="P12" s="13"/>
      <c r="Q12" s="13"/>
      <c r="R12" s="13"/>
      <c r="S12" s="21"/>
      <c r="T12" s="13"/>
      <c r="U12" s="13"/>
      <c r="V12" s="13"/>
    </row>
    <row r="13" spans="1:34" ht="16.5" customHeight="1" x14ac:dyDescent="0.25">
      <c r="A13" s="14" t="s">
        <v>110</v>
      </c>
      <c r="B13" s="16" t="s">
        <v>103</v>
      </c>
      <c r="C13" s="12">
        <f t="shared" si="0"/>
        <v>5550</v>
      </c>
      <c r="D13" s="1">
        <f t="shared" si="1"/>
        <v>11100</v>
      </c>
      <c r="E13" s="14">
        <v>76700</v>
      </c>
      <c r="F13" s="13"/>
      <c r="G13" s="13"/>
      <c r="H13" s="13"/>
      <c r="I13" s="13"/>
      <c r="J13" s="13">
        <v>5000</v>
      </c>
      <c r="K13" s="13">
        <v>6100</v>
      </c>
      <c r="L13" s="13"/>
      <c r="M13" s="13"/>
      <c r="N13" s="13"/>
      <c r="O13" s="13"/>
      <c r="P13" s="13"/>
      <c r="Q13" s="13"/>
      <c r="R13" s="13"/>
      <c r="S13" s="21"/>
      <c r="T13" s="13"/>
      <c r="U13" s="13"/>
      <c r="V13" s="13"/>
    </row>
    <row r="14" spans="1:34" ht="16.5" customHeight="1" x14ac:dyDescent="0.25">
      <c r="A14" s="14" t="s">
        <v>22</v>
      </c>
      <c r="B14" s="16" t="s">
        <v>104</v>
      </c>
      <c r="C14" s="12">
        <f t="shared" si="0"/>
        <v>1220</v>
      </c>
      <c r="D14" s="1">
        <f t="shared" si="1"/>
        <v>6100</v>
      </c>
      <c r="E14" s="14">
        <v>12250</v>
      </c>
      <c r="F14" s="13"/>
      <c r="G14" s="13">
        <v>0</v>
      </c>
      <c r="H14" s="13">
        <v>0</v>
      </c>
      <c r="I14" s="13">
        <v>0</v>
      </c>
      <c r="J14" s="13">
        <v>0</v>
      </c>
      <c r="K14" s="13">
        <v>6100</v>
      </c>
      <c r="L14" s="13"/>
      <c r="M14" s="13"/>
      <c r="N14" s="13"/>
      <c r="O14" s="13"/>
      <c r="P14" s="13"/>
      <c r="Q14" s="13"/>
      <c r="R14" s="13"/>
      <c r="S14" s="21"/>
      <c r="T14" s="13"/>
      <c r="U14" s="13"/>
      <c r="V14" s="13"/>
    </row>
    <row r="15" spans="1:34" ht="16.5" customHeight="1" x14ac:dyDescent="0.25">
      <c r="A15" s="14" t="s">
        <v>111</v>
      </c>
      <c r="B15" s="16" t="s">
        <v>108</v>
      </c>
      <c r="C15" s="12">
        <f t="shared" si="0"/>
        <v>5033</v>
      </c>
      <c r="D15" s="1">
        <f t="shared" si="1"/>
        <v>15100</v>
      </c>
      <c r="E15" s="14">
        <v>28225</v>
      </c>
      <c r="F15" s="13"/>
      <c r="G15" s="13"/>
      <c r="H15" s="13"/>
      <c r="I15" s="13">
        <v>2000</v>
      </c>
      <c r="J15" s="13">
        <v>8000</v>
      </c>
      <c r="K15" s="13">
        <v>5100</v>
      </c>
      <c r="L15" s="13"/>
      <c r="M15" s="13"/>
      <c r="N15" s="13"/>
      <c r="O15" s="13"/>
      <c r="P15" s="13"/>
      <c r="Q15" s="13"/>
      <c r="R15" s="13"/>
      <c r="S15" s="21"/>
      <c r="T15" s="13"/>
      <c r="U15" s="13"/>
      <c r="V15" s="13"/>
    </row>
    <row r="16" spans="1:34" ht="16.5" customHeight="1" x14ac:dyDescent="0.25">
      <c r="A16" s="14" t="s">
        <v>61</v>
      </c>
      <c r="B16" s="16" t="s">
        <v>104</v>
      </c>
      <c r="C16" s="12">
        <f t="shared" si="0"/>
        <v>4325</v>
      </c>
      <c r="D16" s="1">
        <f t="shared" si="1"/>
        <v>25950</v>
      </c>
      <c r="E16" s="14">
        <v>33025</v>
      </c>
      <c r="F16" s="13">
        <v>4000</v>
      </c>
      <c r="G16" s="13">
        <v>4000</v>
      </c>
      <c r="H16" s="13">
        <v>4050</v>
      </c>
      <c r="I16" s="13">
        <v>4850</v>
      </c>
      <c r="J16" s="13">
        <v>4000</v>
      </c>
      <c r="K16" s="13">
        <v>5050</v>
      </c>
      <c r="L16" s="13"/>
      <c r="M16" s="13"/>
      <c r="N16" s="13"/>
      <c r="O16" s="13"/>
      <c r="P16" s="13"/>
      <c r="Q16" s="13"/>
      <c r="R16" s="13"/>
      <c r="S16" s="21"/>
      <c r="T16" s="13"/>
      <c r="U16" s="13"/>
      <c r="V16" s="13"/>
    </row>
    <row r="17" spans="1:22" ht="16.5" customHeight="1" x14ac:dyDescent="0.25">
      <c r="A17" s="14" t="s">
        <v>45</v>
      </c>
      <c r="B17" s="16" t="s">
        <v>104</v>
      </c>
      <c r="C17" s="12">
        <f t="shared" si="0"/>
        <v>4858</v>
      </c>
      <c r="D17" s="1">
        <f t="shared" si="1"/>
        <v>29150</v>
      </c>
      <c r="E17" s="14">
        <v>33700</v>
      </c>
      <c r="F17" s="13">
        <v>4000</v>
      </c>
      <c r="G17" s="13">
        <v>4000</v>
      </c>
      <c r="H17" s="13">
        <v>10000</v>
      </c>
      <c r="I17" s="13">
        <v>2450</v>
      </c>
      <c r="J17" s="13">
        <v>4050</v>
      </c>
      <c r="K17" s="13">
        <v>4650</v>
      </c>
      <c r="L17" s="13"/>
      <c r="M17" s="13"/>
      <c r="N17" s="13"/>
      <c r="O17" s="13"/>
      <c r="P17" s="13"/>
      <c r="Q17" s="13"/>
      <c r="R17" s="13"/>
      <c r="S17" s="21"/>
      <c r="T17" s="13"/>
      <c r="U17" s="13"/>
      <c r="V17" s="13"/>
    </row>
    <row r="18" spans="1:22" ht="16.5" customHeight="1" x14ac:dyDescent="0.25">
      <c r="A18" s="14" t="s">
        <v>57</v>
      </c>
      <c r="B18" s="16" t="s">
        <v>104</v>
      </c>
      <c r="C18" s="12">
        <f t="shared" si="0"/>
        <v>4150</v>
      </c>
      <c r="D18" s="1">
        <f t="shared" si="1"/>
        <v>24900</v>
      </c>
      <c r="E18" s="14">
        <v>33050</v>
      </c>
      <c r="F18" s="13">
        <v>4000</v>
      </c>
      <c r="G18" s="13">
        <v>2100</v>
      </c>
      <c r="H18" s="13">
        <v>5800</v>
      </c>
      <c r="I18" s="13">
        <v>4050</v>
      </c>
      <c r="J18" s="13">
        <v>4350</v>
      </c>
      <c r="K18" s="13">
        <v>4600</v>
      </c>
      <c r="L18" s="13"/>
      <c r="M18" s="13"/>
      <c r="N18" s="13"/>
      <c r="O18" s="13"/>
      <c r="P18" s="13"/>
      <c r="Q18" s="13"/>
      <c r="R18" s="13"/>
      <c r="S18" s="21"/>
      <c r="T18" s="13"/>
      <c r="U18" s="13"/>
      <c r="V18" s="13"/>
    </row>
    <row r="19" spans="1:22" ht="16.5" customHeight="1" x14ac:dyDescent="0.25">
      <c r="A19" s="14" t="s">
        <v>112</v>
      </c>
      <c r="B19" s="16" t="s">
        <v>103</v>
      </c>
      <c r="C19" s="12">
        <f t="shared" si="0"/>
        <v>4250</v>
      </c>
      <c r="D19" s="1">
        <f t="shared" si="1"/>
        <v>8500</v>
      </c>
      <c r="E19" s="14">
        <v>23750</v>
      </c>
      <c r="F19" s="13"/>
      <c r="G19" s="13"/>
      <c r="H19" s="13"/>
      <c r="I19" s="13"/>
      <c r="J19" s="13">
        <v>4300</v>
      </c>
      <c r="K19" s="13">
        <v>4200</v>
      </c>
      <c r="L19" s="13"/>
      <c r="M19" s="13"/>
      <c r="N19" s="13"/>
      <c r="O19" s="13"/>
      <c r="P19" s="13"/>
      <c r="Q19" s="13"/>
      <c r="R19" s="13"/>
      <c r="S19" s="21"/>
      <c r="T19" s="13"/>
      <c r="U19" s="13"/>
      <c r="V19" s="13"/>
    </row>
    <row r="20" spans="1:22" ht="16.5" customHeight="1" x14ac:dyDescent="0.25">
      <c r="A20" s="14" t="s">
        <v>113</v>
      </c>
      <c r="B20" s="16" t="s">
        <v>108</v>
      </c>
      <c r="C20" s="12">
        <f t="shared" si="0"/>
        <v>4200</v>
      </c>
      <c r="D20" s="1">
        <f t="shared" si="1"/>
        <v>12600</v>
      </c>
      <c r="E20" s="14">
        <v>44550</v>
      </c>
      <c r="F20" s="13"/>
      <c r="G20" s="13"/>
      <c r="H20" s="13"/>
      <c r="I20" s="13">
        <v>4300</v>
      </c>
      <c r="J20" s="13">
        <v>4100</v>
      </c>
      <c r="K20" s="13">
        <v>4200</v>
      </c>
      <c r="L20" s="13"/>
      <c r="M20" s="13"/>
      <c r="N20" s="13"/>
      <c r="O20" s="13"/>
      <c r="P20" s="13"/>
      <c r="Q20" s="13"/>
      <c r="R20" s="13"/>
      <c r="S20" s="21"/>
      <c r="T20" s="13"/>
      <c r="U20" s="13"/>
      <c r="V20" s="13"/>
    </row>
    <row r="21" spans="1:22" ht="16.5" customHeight="1" x14ac:dyDescent="0.25">
      <c r="A21" s="14" t="s">
        <v>55</v>
      </c>
      <c r="B21" s="16" t="s">
        <v>104</v>
      </c>
      <c r="C21" s="12">
        <f t="shared" si="0"/>
        <v>4225</v>
      </c>
      <c r="D21" s="1">
        <f t="shared" si="1"/>
        <v>25350</v>
      </c>
      <c r="E21" s="14">
        <v>32200</v>
      </c>
      <c r="F21" s="13">
        <v>4000</v>
      </c>
      <c r="G21" s="13">
        <v>4000</v>
      </c>
      <c r="H21" s="13">
        <v>4100</v>
      </c>
      <c r="I21" s="13">
        <v>4400</v>
      </c>
      <c r="J21" s="13">
        <v>4700</v>
      </c>
      <c r="K21" s="13">
        <v>4150</v>
      </c>
      <c r="L21" s="13"/>
      <c r="M21" s="13"/>
      <c r="N21" s="13"/>
      <c r="O21" s="13"/>
      <c r="P21" s="13"/>
      <c r="Q21" s="13"/>
      <c r="R21" s="13"/>
      <c r="S21" s="21"/>
      <c r="T21" s="13"/>
      <c r="U21" s="13"/>
      <c r="V21" s="13"/>
    </row>
    <row r="22" spans="1:22" ht="16.5" customHeight="1" x14ac:dyDescent="0.25">
      <c r="A22" s="14" t="s">
        <v>114</v>
      </c>
      <c r="B22" s="16" t="s">
        <v>115</v>
      </c>
      <c r="C22" s="12">
        <f t="shared" si="0"/>
        <v>4063</v>
      </c>
      <c r="D22" s="1">
        <f t="shared" si="1"/>
        <v>16250</v>
      </c>
      <c r="E22" s="14">
        <v>123800</v>
      </c>
      <c r="F22" s="13"/>
      <c r="G22" s="13"/>
      <c r="H22" s="13">
        <v>4050</v>
      </c>
      <c r="I22" s="13">
        <v>4100</v>
      </c>
      <c r="J22" s="13">
        <v>4000</v>
      </c>
      <c r="K22" s="13">
        <v>4100</v>
      </c>
      <c r="L22" s="13"/>
      <c r="M22" s="13"/>
      <c r="N22" s="13"/>
      <c r="O22" s="13"/>
      <c r="P22" s="13"/>
      <c r="Q22" s="13"/>
      <c r="R22" s="13"/>
      <c r="S22" s="21"/>
      <c r="T22" s="13"/>
      <c r="U22" s="13"/>
      <c r="V22" s="13"/>
    </row>
    <row r="23" spans="1:22" ht="16.5" customHeight="1" x14ac:dyDescent="0.25">
      <c r="A23" s="14" t="s">
        <v>49</v>
      </c>
      <c r="B23" s="16" t="s">
        <v>104</v>
      </c>
      <c r="C23" s="12">
        <f t="shared" si="0"/>
        <v>2350</v>
      </c>
      <c r="D23" s="1">
        <f t="shared" si="1"/>
        <v>9400</v>
      </c>
      <c r="E23" s="14">
        <v>41000</v>
      </c>
      <c r="F23" s="13"/>
      <c r="G23" s="13"/>
      <c r="H23" s="13">
        <v>1200</v>
      </c>
      <c r="I23" s="13">
        <v>4000</v>
      </c>
      <c r="J23" s="13">
        <v>150</v>
      </c>
      <c r="K23" s="13">
        <v>4050</v>
      </c>
      <c r="L23" s="13"/>
      <c r="M23" s="13"/>
      <c r="N23" s="13"/>
      <c r="O23" s="13"/>
      <c r="P23" s="13"/>
      <c r="Q23" s="13"/>
      <c r="R23" s="13"/>
      <c r="S23" s="21"/>
      <c r="T23" s="13"/>
      <c r="U23" s="13"/>
      <c r="V23" s="13"/>
    </row>
    <row r="24" spans="1:22" ht="16.5" customHeight="1" x14ac:dyDescent="0.25">
      <c r="A24" s="14" t="s">
        <v>33</v>
      </c>
      <c r="B24" s="16" t="s">
        <v>104</v>
      </c>
      <c r="C24" s="12">
        <f t="shared" si="0"/>
        <v>2888</v>
      </c>
      <c r="D24" s="1">
        <f t="shared" si="1"/>
        <v>11550</v>
      </c>
      <c r="E24" s="14">
        <v>29350</v>
      </c>
      <c r="F24" s="13"/>
      <c r="G24" s="13"/>
      <c r="H24" s="13">
        <v>0</v>
      </c>
      <c r="I24" s="13">
        <v>3500</v>
      </c>
      <c r="J24" s="13">
        <v>4050</v>
      </c>
      <c r="K24" s="13">
        <v>4000</v>
      </c>
      <c r="L24" s="13"/>
      <c r="M24" s="13"/>
      <c r="N24" s="13"/>
      <c r="O24" s="13"/>
      <c r="P24" s="13"/>
      <c r="Q24" s="13"/>
      <c r="R24" s="13"/>
      <c r="S24" s="21"/>
      <c r="T24" s="13"/>
      <c r="U24" s="13"/>
      <c r="V24" s="13"/>
    </row>
    <row r="25" spans="1:22" ht="16.5" customHeight="1" x14ac:dyDescent="0.25">
      <c r="A25" s="14" t="s">
        <v>46</v>
      </c>
      <c r="B25" s="16" t="s">
        <v>104</v>
      </c>
      <c r="C25" s="12">
        <f t="shared" si="0"/>
        <v>3675</v>
      </c>
      <c r="D25" s="1">
        <f t="shared" si="1"/>
        <v>22050</v>
      </c>
      <c r="E25" s="14">
        <v>39900</v>
      </c>
      <c r="F25" s="13">
        <v>4000</v>
      </c>
      <c r="G25" s="13">
        <v>4000</v>
      </c>
      <c r="H25" s="13">
        <v>4050</v>
      </c>
      <c r="I25" s="13">
        <v>5600</v>
      </c>
      <c r="J25" s="13">
        <v>1300</v>
      </c>
      <c r="K25" s="13">
        <v>3100</v>
      </c>
      <c r="L25" s="13"/>
      <c r="M25" s="13"/>
      <c r="N25" s="13"/>
      <c r="O25" s="13"/>
      <c r="P25" s="13"/>
      <c r="Q25" s="13"/>
      <c r="R25" s="13"/>
      <c r="S25" s="21"/>
      <c r="T25" s="13"/>
      <c r="U25" s="13"/>
      <c r="V25" s="13"/>
    </row>
    <row r="26" spans="1:22" ht="16.5" customHeight="1" x14ac:dyDescent="0.25">
      <c r="A26" s="14" t="s">
        <v>35</v>
      </c>
      <c r="B26" s="16" t="s">
        <v>104</v>
      </c>
      <c r="C26" s="12">
        <f t="shared" si="0"/>
        <v>4350</v>
      </c>
      <c r="D26" s="1">
        <f t="shared" si="1"/>
        <v>17400</v>
      </c>
      <c r="E26" s="14">
        <v>31825</v>
      </c>
      <c r="F26" s="13"/>
      <c r="G26" s="13"/>
      <c r="H26" s="13">
        <v>3650</v>
      </c>
      <c r="I26" s="13">
        <v>7600</v>
      </c>
      <c r="J26" s="13">
        <v>3150</v>
      </c>
      <c r="K26" s="13">
        <v>3000</v>
      </c>
      <c r="L26" s="13"/>
      <c r="M26" s="13"/>
      <c r="N26" s="13"/>
      <c r="O26" s="13"/>
      <c r="P26" s="13"/>
      <c r="Q26" s="13"/>
      <c r="R26" s="13"/>
      <c r="S26" s="21"/>
      <c r="T26" s="13"/>
      <c r="U26" s="13"/>
      <c r="V26" s="13"/>
    </row>
    <row r="27" spans="1:22" ht="16.5" customHeight="1" x14ac:dyDescent="0.25">
      <c r="A27" s="14" t="s">
        <v>116</v>
      </c>
      <c r="B27" s="16" t="s">
        <v>117</v>
      </c>
      <c r="C27" s="12">
        <f t="shared" si="0"/>
        <v>783</v>
      </c>
      <c r="D27" s="1">
        <f t="shared" si="1"/>
        <v>2350</v>
      </c>
      <c r="E27" s="14">
        <v>75000</v>
      </c>
      <c r="F27" s="13"/>
      <c r="G27" s="13"/>
      <c r="H27" s="13"/>
      <c r="I27" s="13">
        <v>0</v>
      </c>
      <c r="J27" s="13">
        <v>950</v>
      </c>
      <c r="K27" s="13">
        <v>1400</v>
      </c>
      <c r="L27" s="13"/>
      <c r="M27" s="13"/>
      <c r="N27" s="13"/>
      <c r="O27" s="13"/>
      <c r="P27" s="13"/>
      <c r="Q27" s="13"/>
      <c r="R27" s="13"/>
      <c r="S27" s="21"/>
      <c r="T27" s="13"/>
      <c r="U27" s="13"/>
      <c r="V27" s="13"/>
    </row>
    <row r="28" spans="1:22" ht="16.5" customHeight="1" x14ac:dyDescent="0.25">
      <c r="A28" s="14" t="s">
        <v>118</v>
      </c>
      <c r="B28" s="16" t="s">
        <v>108</v>
      </c>
      <c r="C28" s="12">
        <f t="shared" si="0"/>
        <v>2617</v>
      </c>
      <c r="D28" s="1">
        <f t="shared" si="1"/>
        <v>7850</v>
      </c>
      <c r="E28" s="14">
        <v>6800</v>
      </c>
      <c r="F28" s="13"/>
      <c r="G28" s="13"/>
      <c r="H28" s="13"/>
      <c r="I28" s="13">
        <v>4150</v>
      </c>
      <c r="J28" s="13">
        <v>2650</v>
      </c>
      <c r="K28" s="13">
        <v>1050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spans="1:22" ht="16.5" customHeight="1" x14ac:dyDescent="0.25">
      <c r="A29" s="14" t="s">
        <v>119</v>
      </c>
      <c r="B29" s="16" t="s">
        <v>79</v>
      </c>
      <c r="C29" s="12">
        <f t="shared" si="0"/>
        <v>600</v>
      </c>
      <c r="D29" s="1">
        <f t="shared" si="1"/>
        <v>600</v>
      </c>
      <c r="E29" s="14">
        <v>18000</v>
      </c>
      <c r="F29" s="13"/>
      <c r="G29" s="13"/>
      <c r="H29" s="13"/>
      <c r="I29" s="13"/>
      <c r="J29" s="13"/>
      <c r="K29" s="13">
        <v>600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ht="16.5" customHeight="1" x14ac:dyDescent="0.25">
      <c r="A30" s="14" t="s">
        <v>34</v>
      </c>
      <c r="B30" s="16" t="s">
        <v>104</v>
      </c>
      <c r="C30" s="12">
        <f t="shared" si="0"/>
        <v>500</v>
      </c>
      <c r="D30" s="1">
        <f t="shared" si="1"/>
        <v>2000</v>
      </c>
      <c r="E30" s="14">
        <v>15150</v>
      </c>
      <c r="F30" s="13"/>
      <c r="G30" s="13"/>
      <c r="H30" s="13">
        <v>500</v>
      </c>
      <c r="I30" s="13">
        <v>1500</v>
      </c>
      <c r="J30" s="13">
        <v>0</v>
      </c>
      <c r="K30" s="13">
        <v>0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spans="1:22" ht="16.5" customHeight="1" x14ac:dyDescent="0.25">
      <c r="A31" s="14" t="s">
        <v>120</v>
      </c>
      <c r="B31" s="16" t="s">
        <v>108</v>
      </c>
      <c r="C31" s="12">
        <f t="shared" si="0"/>
        <v>6667</v>
      </c>
      <c r="D31" s="1">
        <f t="shared" si="1"/>
        <v>20000</v>
      </c>
      <c r="E31" s="14">
        <v>69000</v>
      </c>
      <c r="F31" s="13"/>
      <c r="G31" s="13"/>
      <c r="H31" s="13"/>
      <c r="I31" s="13">
        <v>10000</v>
      </c>
      <c r="J31" s="13">
        <v>10000</v>
      </c>
      <c r="K31" s="13">
        <v>0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spans="1:22" ht="16.5" customHeight="1" x14ac:dyDescent="0.25">
      <c r="A32" s="14" t="s">
        <v>121</v>
      </c>
      <c r="B32" s="16" t="s">
        <v>122</v>
      </c>
      <c r="C32" s="12" t="e">
        <f t="shared" si="0"/>
        <v>#DIV/0!</v>
      </c>
      <c r="D32" s="1">
        <f t="shared" si="1"/>
        <v>0</v>
      </c>
      <c r="E32" s="14">
        <v>43650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spans="1:22" ht="16.5" customHeight="1" x14ac:dyDescent="0.25">
      <c r="A33" s="14" t="s">
        <v>123</v>
      </c>
      <c r="B33" s="16" t="s">
        <v>122</v>
      </c>
      <c r="C33" s="12" t="e">
        <f t="shared" si="0"/>
        <v>#DIV/0!</v>
      </c>
      <c r="D33" s="1">
        <f t="shared" si="1"/>
        <v>0</v>
      </c>
      <c r="E33" s="14">
        <v>13125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spans="1:22" ht="16.5" customHeight="1" x14ac:dyDescent="0.25">
      <c r="A34" s="14" t="s">
        <v>124</v>
      </c>
      <c r="B34" s="16" t="s">
        <v>122</v>
      </c>
      <c r="C34" s="12" t="e">
        <f t="shared" si="0"/>
        <v>#DIV/0!</v>
      </c>
      <c r="D34" s="1">
        <f t="shared" si="1"/>
        <v>0</v>
      </c>
      <c r="E34" s="14">
        <v>11250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ht="16.5" customHeight="1" x14ac:dyDescent="0.25">
      <c r="A35" s="14" t="s">
        <v>125</v>
      </c>
      <c r="B35" s="16" t="s">
        <v>122</v>
      </c>
      <c r="C35" s="12" t="e">
        <f t="shared" si="0"/>
        <v>#DIV/0!</v>
      </c>
      <c r="D35" s="1">
        <f t="shared" si="1"/>
        <v>0</v>
      </c>
      <c r="E35" s="14">
        <v>40640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ht="16.5" customHeight="1" x14ac:dyDescent="0.25">
      <c r="A36" s="14" t="s">
        <v>126</v>
      </c>
      <c r="B36" s="16" t="s">
        <v>127</v>
      </c>
      <c r="C36" s="12" t="e">
        <f t="shared" si="0"/>
        <v>#DIV/0!</v>
      </c>
      <c r="D36" s="1">
        <f t="shared" si="1"/>
        <v>0</v>
      </c>
      <c r="E36" s="14">
        <v>69525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ht="16.5" customHeight="1" x14ac:dyDescent="0.25">
      <c r="A37" s="14" t="s">
        <v>128</v>
      </c>
      <c r="B37" s="16" t="s">
        <v>127</v>
      </c>
      <c r="C37" s="12" t="e">
        <f t="shared" si="0"/>
        <v>#DIV/0!</v>
      </c>
      <c r="D37" s="1">
        <f t="shared" si="1"/>
        <v>0</v>
      </c>
      <c r="E37" s="14">
        <v>56200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ht="16.5" customHeight="1" x14ac:dyDescent="0.25">
      <c r="A38" s="14" t="s">
        <v>129</v>
      </c>
      <c r="B38" s="16" t="s">
        <v>127</v>
      </c>
      <c r="C38" s="12" t="e">
        <f t="shared" si="0"/>
        <v>#DIV/0!</v>
      </c>
      <c r="D38" s="1">
        <f t="shared" si="1"/>
        <v>0</v>
      </c>
      <c r="E38" s="14">
        <v>14060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spans="1:22" ht="16.5" customHeight="1" x14ac:dyDescent="0.25">
      <c r="A39" s="14" t="s">
        <v>130</v>
      </c>
      <c r="B39" s="16" t="s">
        <v>127</v>
      </c>
      <c r="C39" s="12" t="e">
        <f t="shared" si="0"/>
        <v>#DIV/0!</v>
      </c>
      <c r="D39" s="1">
        <f t="shared" si="1"/>
        <v>0</v>
      </c>
      <c r="E39" s="14">
        <v>39650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ht="16.5" customHeight="1" x14ac:dyDescent="0.25">
      <c r="A40" s="14" t="s">
        <v>131</v>
      </c>
      <c r="B40" s="16" t="s">
        <v>127</v>
      </c>
      <c r="C40" s="12" t="e">
        <f t="shared" si="0"/>
        <v>#DIV/0!</v>
      </c>
      <c r="D40" s="1">
        <f t="shared" si="1"/>
        <v>0</v>
      </c>
      <c r="E40" s="14">
        <v>42850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spans="1:22" ht="16.5" customHeight="1" x14ac:dyDescent="0.25">
      <c r="A41" s="14" t="s">
        <v>132</v>
      </c>
      <c r="B41" s="16" t="s">
        <v>127</v>
      </c>
      <c r="C41" s="12" t="e">
        <f t="shared" si="0"/>
        <v>#DIV/0!</v>
      </c>
      <c r="D41" s="1">
        <f t="shared" si="1"/>
        <v>0</v>
      </c>
      <c r="E41" s="14">
        <v>56865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spans="1:22" ht="16.5" customHeight="1" x14ac:dyDescent="0.25">
      <c r="A42" s="14" t="s">
        <v>133</v>
      </c>
      <c r="B42" s="16" t="s">
        <v>127</v>
      </c>
      <c r="C42" s="12" t="e">
        <f t="shared" si="0"/>
        <v>#DIV/0!</v>
      </c>
      <c r="D42" s="1">
        <f t="shared" si="1"/>
        <v>0</v>
      </c>
      <c r="E42" s="14">
        <v>25810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ht="16.5" customHeight="1" x14ac:dyDescent="0.25">
      <c r="A43" s="14" t="s">
        <v>134</v>
      </c>
      <c r="B43" s="16" t="s">
        <v>127</v>
      </c>
      <c r="C43" s="12" t="e">
        <f t="shared" si="0"/>
        <v>#DIV/0!</v>
      </c>
      <c r="D43" s="1">
        <f t="shared" si="1"/>
        <v>0</v>
      </c>
      <c r="E43" s="14">
        <v>110325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 ht="16.5" customHeight="1" x14ac:dyDescent="0.25">
      <c r="A44" s="14" t="s">
        <v>135</v>
      </c>
      <c r="B44" s="16" t="s">
        <v>127</v>
      </c>
      <c r="C44" s="12" t="e">
        <f t="shared" si="0"/>
        <v>#DIV/0!</v>
      </c>
      <c r="D44" s="1">
        <f t="shared" si="1"/>
        <v>0</v>
      </c>
      <c r="E44" s="14">
        <v>33210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</sheetData>
  <autoFilter ref="A1:AN1" xr:uid="{00000000-0009-0000-0000-000000000000}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workbookViewId="0">
      <pane xSplit="1" topLeftCell="P1" activePane="topRight" state="frozen"/>
      <selection pane="topRight" sqref="A1:XFD1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4" width="11.7109375" style="10" customWidth="1"/>
    <col min="5" max="5" width="11.7109375" style="5" customWidth="1"/>
    <col min="6" max="6" width="10.140625" style="5" customWidth="1"/>
    <col min="7" max="7" width="10.85546875" style="5" customWidth="1"/>
    <col min="8" max="11" width="11.5703125" style="5" customWidth="1"/>
    <col min="12" max="34" width="12.5703125" style="5" customWidth="1"/>
    <col min="35" max="55" width="9.140625" style="5" customWidth="1"/>
    <col min="56" max="16384" width="9.140625" style="5"/>
  </cols>
  <sheetData>
    <row r="1" spans="1:34" s="4" customFormat="1" ht="15.75" customHeight="1" x14ac:dyDescent="0.25">
      <c r="A1" s="8" t="s">
        <v>69</v>
      </c>
      <c r="B1" s="8" t="s">
        <v>70</v>
      </c>
      <c r="C1" s="8" t="s">
        <v>71</v>
      </c>
      <c r="D1" s="7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108</v>
      </c>
      <c r="M1" s="3" t="s">
        <v>144</v>
      </c>
      <c r="N1" s="3" t="s">
        <v>145</v>
      </c>
      <c r="O1" s="3" t="s">
        <v>146</v>
      </c>
      <c r="P1" s="3" t="s">
        <v>147</v>
      </c>
      <c r="Q1" s="3" t="s">
        <v>148</v>
      </c>
      <c r="R1" s="3" t="s">
        <v>149</v>
      </c>
      <c r="S1" s="3" t="s">
        <v>150</v>
      </c>
      <c r="T1" s="3" t="s">
        <v>151</v>
      </c>
      <c r="U1" s="3" t="s">
        <v>152</v>
      </c>
      <c r="V1" s="3" t="s">
        <v>153</v>
      </c>
      <c r="W1" s="3" t="s">
        <v>154</v>
      </c>
      <c r="X1" s="3" t="s">
        <v>155</v>
      </c>
      <c r="Y1" s="3" t="s">
        <v>156</v>
      </c>
      <c r="Z1" s="3" t="s">
        <v>157</v>
      </c>
      <c r="AA1" s="3" t="s">
        <v>158</v>
      </c>
      <c r="AB1" s="3" t="s">
        <v>159</v>
      </c>
      <c r="AC1" s="3" t="s">
        <v>160</v>
      </c>
      <c r="AD1" s="3" t="s">
        <v>161</v>
      </c>
      <c r="AE1" s="3" t="s">
        <v>162</v>
      </c>
      <c r="AF1" s="3" t="s">
        <v>163</v>
      </c>
      <c r="AG1" s="3" t="s">
        <v>164</v>
      </c>
      <c r="AH1" s="3" t="s">
        <v>165</v>
      </c>
    </row>
    <row r="2" spans="1:34" x14ac:dyDescent="0.25">
      <c r="A2" s="9" t="s">
        <v>118</v>
      </c>
      <c r="B2" s="11" t="s">
        <v>166</v>
      </c>
      <c r="C2" s="9">
        <f t="shared" ref="C2:C44" si="0">ROUND(AVERAGE(D2:AH2), 0)</f>
        <v>0</v>
      </c>
      <c r="K2" s="6">
        <v>0</v>
      </c>
      <c r="L2" s="6">
        <v>0</v>
      </c>
      <c r="M2" s="5">
        <v>0</v>
      </c>
      <c r="N2" s="13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34" x14ac:dyDescent="0.25">
      <c r="A3" s="9" t="s">
        <v>111</v>
      </c>
      <c r="B3" s="11" t="s">
        <v>108</v>
      </c>
      <c r="C3" s="9">
        <f t="shared" si="0"/>
        <v>3</v>
      </c>
      <c r="L3" s="6">
        <v>0</v>
      </c>
      <c r="M3" s="5">
        <v>0</v>
      </c>
      <c r="N3" s="13">
        <v>3</v>
      </c>
      <c r="O3">
        <v>6</v>
      </c>
      <c r="P3">
        <v>6</v>
      </c>
      <c r="Q3">
        <v>6</v>
      </c>
      <c r="R3">
        <v>6</v>
      </c>
      <c r="S3">
        <v>6</v>
      </c>
      <c r="T3">
        <v>5</v>
      </c>
      <c r="U3">
        <v>6</v>
      </c>
      <c r="V3">
        <v>6</v>
      </c>
      <c r="W3">
        <v>6</v>
      </c>
      <c r="X3">
        <v>0</v>
      </c>
      <c r="Y3">
        <v>0</v>
      </c>
      <c r="Z3">
        <v>0</v>
      </c>
      <c r="AA3">
        <v>0</v>
      </c>
      <c r="AB3">
        <v>0</v>
      </c>
    </row>
    <row r="4" spans="1:34" x14ac:dyDescent="0.25">
      <c r="A4" s="9" t="s">
        <v>110</v>
      </c>
      <c r="B4" s="11" t="s">
        <v>167</v>
      </c>
      <c r="C4" s="9">
        <f t="shared" si="0"/>
        <v>6</v>
      </c>
      <c r="K4" s="6"/>
      <c r="L4" s="6"/>
      <c r="N4" s="13"/>
      <c r="O4" s="19"/>
      <c r="P4">
        <v>6</v>
      </c>
      <c r="Q4">
        <v>6</v>
      </c>
      <c r="R4">
        <v>6</v>
      </c>
      <c r="S4">
        <v>6</v>
      </c>
      <c r="T4">
        <v>6</v>
      </c>
      <c r="U4">
        <v>6</v>
      </c>
      <c r="V4">
        <v>6</v>
      </c>
      <c r="W4">
        <v>6</v>
      </c>
      <c r="X4">
        <v>6</v>
      </c>
      <c r="Y4">
        <v>6</v>
      </c>
      <c r="Z4">
        <v>6</v>
      </c>
      <c r="AA4">
        <v>6</v>
      </c>
      <c r="AB4">
        <v>6</v>
      </c>
    </row>
    <row r="5" spans="1:34" x14ac:dyDescent="0.25">
      <c r="A5" s="9" t="s">
        <v>34</v>
      </c>
      <c r="B5" s="11" t="s">
        <v>104</v>
      </c>
      <c r="C5" s="9">
        <f t="shared" si="0"/>
        <v>4</v>
      </c>
      <c r="G5" s="5">
        <v>0</v>
      </c>
      <c r="H5" s="5">
        <v>6</v>
      </c>
      <c r="I5" s="5">
        <v>6</v>
      </c>
      <c r="J5" s="6">
        <v>6</v>
      </c>
      <c r="K5" s="6">
        <v>6</v>
      </c>
      <c r="L5" s="6">
        <v>5</v>
      </c>
      <c r="M5" s="5">
        <v>0</v>
      </c>
      <c r="N5" s="13">
        <v>4</v>
      </c>
      <c r="O5">
        <v>6</v>
      </c>
      <c r="P5">
        <v>6</v>
      </c>
      <c r="Q5">
        <v>6</v>
      </c>
      <c r="R5">
        <v>6</v>
      </c>
      <c r="S5">
        <v>6</v>
      </c>
      <c r="T5">
        <v>0</v>
      </c>
      <c r="U5">
        <v>6</v>
      </c>
      <c r="V5">
        <v>6</v>
      </c>
      <c r="W5">
        <v>6</v>
      </c>
      <c r="X5">
        <v>0</v>
      </c>
      <c r="Y5">
        <v>6</v>
      </c>
      <c r="Z5">
        <v>0</v>
      </c>
      <c r="AA5">
        <v>0</v>
      </c>
      <c r="AB5">
        <v>4</v>
      </c>
    </row>
    <row r="6" spans="1:34" x14ac:dyDescent="0.25">
      <c r="A6" s="9" t="s">
        <v>55</v>
      </c>
      <c r="B6" s="11" t="s">
        <v>104</v>
      </c>
      <c r="C6" s="9">
        <f t="shared" si="0"/>
        <v>5</v>
      </c>
      <c r="D6" s="10">
        <v>6</v>
      </c>
      <c r="E6" s="5">
        <v>6</v>
      </c>
      <c r="F6" s="5">
        <v>6</v>
      </c>
      <c r="G6" s="5">
        <v>6</v>
      </c>
      <c r="H6" s="5">
        <v>0</v>
      </c>
      <c r="I6" s="5">
        <v>6</v>
      </c>
      <c r="J6" s="6">
        <v>6</v>
      </c>
      <c r="K6" s="6">
        <v>6</v>
      </c>
      <c r="L6" s="6">
        <v>6</v>
      </c>
      <c r="M6" s="5">
        <v>6</v>
      </c>
      <c r="N6" s="13">
        <v>6</v>
      </c>
      <c r="O6">
        <v>6</v>
      </c>
      <c r="P6">
        <v>6</v>
      </c>
      <c r="Q6">
        <v>6</v>
      </c>
      <c r="R6">
        <v>6</v>
      </c>
      <c r="S6">
        <v>6</v>
      </c>
      <c r="T6">
        <v>6</v>
      </c>
      <c r="U6">
        <v>6</v>
      </c>
      <c r="V6">
        <v>0</v>
      </c>
      <c r="W6">
        <v>0</v>
      </c>
      <c r="X6">
        <v>6</v>
      </c>
      <c r="Y6">
        <v>6</v>
      </c>
      <c r="Z6">
        <v>0</v>
      </c>
      <c r="AA6">
        <v>0</v>
      </c>
      <c r="AB6">
        <v>0</v>
      </c>
    </row>
    <row r="7" spans="1:34" x14ac:dyDescent="0.25">
      <c r="A7" s="9" t="s">
        <v>22</v>
      </c>
      <c r="B7" s="11" t="s">
        <v>104</v>
      </c>
      <c r="C7" s="9">
        <f t="shared" si="0"/>
        <v>3</v>
      </c>
      <c r="D7" s="10">
        <v>6</v>
      </c>
      <c r="E7" s="5">
        <v>6</v>
      </c>
      <c r="F7" s="5">
        <v>6</v>
      </c>
      <c r="G7" s="5">
        <v>6</v>
      </c>
      <c r="H7" s="5">
        <v>0</v>
      </c>
      <c r="I7" s="5">
        <v>0</v>
      </c>
      <c r="J7" s="6">
        <v>0</v>
      </c>
      <c r="K7" s="6">
        <v>0</v>
      </c>
      <c r="L7" s="6">
        <v>3</v>
      </c>
      <c r="M7" s="5">
        <v>0</v>
      </c>
      <c r="N7" s="13">
        <v>6</v>
      </c>
      <c r="O7">
        <v>0</v>
      </c>
      <c r="P7">
        <v>3</v>
      </c>
      <c r="Q7">
        <v>0</v>
      </c>
      <c r="R7">
        <v>0</v>
      </c>
      <c r="S7">
        <v>6</v>
      </c>
      <c r="T7">
        <v>6</v>
      </c>
      <c r="U7">
        <v>6</v>
      </c>
      <c r="V7">
        <v>0</v>
      </c>
      <c r="W7">
        <v>6</v>
      </c>
      <c r="X7">
        <v>0</v>
      </c>
      <c r="Y7">
        <v>6</v>
      </c>
      <c r="Z7">
        <v>6</v>
      </c>
      <c r="AA7">
        <v>6</v>
      </c>
      <c r="AB7">
        <v>0</v>
      </c>
    </row>
    <row r="8" spans="1:34" x14ac:dyDescent="0.25">
      <c r="A8" s="9" t="s">
        <v>102</v>
      </c>
      <c r="B8" s="11" t="s">
        <v>168</v>
      </c>
      <c r="C8" s="9">
        <f t="shared" si="0"/>
        <v>4</v>
      </c>
      <c r="K8" s="6"/>
      <c r="L8" s="6"/>
      <c r="N8" s="13"/>
      <c r="O8">
        <v>6</v>
      </c>
      <c r="P8">
        <v>0</v>
      </c>
      <c r="Q8">
        <v>0</v>
      </c>
      <c r="R8">
        <v>6</v>
      </c>
      <c r="S8">
        <v>6</v>
      </c>
      <c r="T8">
        <v>6</v>
      </c>
      <c r="U8">
        <v>6</v>
      </c>
      <c r="V8">
        <v>5</v>
      </c>
      <c r="W8">
        <v>6</v>
      </c>
      <c r="X8">
        <v>6</v>
      </c>
      <c r="Y8">
        <v>6</v>
      </c>
      <c r="Z8">
        <v>6</v>
      </c>
      <c r="AA8">
        <v>0</v>
      </c>
      <c r="AB8">
        <v>0</v>
      </c>
    </row>
    <row r="9" spans="1:34" x14ac:dyDescent="0.25">
      <c r="A9" s="9" t="s">
        <v>49</v>
      </c>
      <c r="B9" s="11" t="s">
        <v>104</v>
      </c>
      <c r="C9" s="9">
        <f t="shared" si="0"/>
        <v>3</v>
      </c>
      <c r="G9" s="5">
        <v>6</v>
      </c>
      <c r="H9" s="5">
        <v>6</v>
      </c>
      <c r="I9" s="5">
        <v>5</v>
      </c>
      <c r="J9" s="6">
        <v>6</v>
      </c>
      <c r="K9" s="6">
        <v>6</v>
      </c>
      <c r="L9" s="6">
        <v>6</v>
      </c>
      <c r="M9" s="5">
        <v>5</v>
      </c>
      <c r="N9" s="13">
        <v>6</v>
      </c>
      <c r="O9">
        <v>1</v>
      </c>
      <c r="P9">
        <v>2</v>
      </c>
      <c r="Q9">
        <v>4</v>
      </c>
      <c r="R9">
        <v>0</v>
      </c>
      <c r="S9">
        <v>0</v>
      </c>
      <c r="T9">
        <v>0</v>
      </c>
      <c r="U9">
        <v>0</v>
      </c>
      <c r="V9">
        <v>6</v>
      </c>
      <c r="W9">
        <v>0</v>
      </c>
      <c r="X9">
        <v>6</v>
      </c>
      <c r="Y9">
        <v>0</v>
      </c>
      <c r="Z9">
        <v>2</v>
      </c>
      <c r="AA9">
        <v>0</v>
      </c>
      <c r="AB9">
        <v>0</v>
      </c>
    </row>
    <row r="10" spans="1:34" x14ac:dyDescent="0.25">
      <c r="A10" s="9" t="s">
        <v>119</v>
      </c>
      <c r="B10" s="11" t="s">
        <v>169</v>
      </c>
      <c r="C10" s="9">
        <f t="shared" si="0"/>
        <v>1</v>
      </c>
      <c r="K10" s="6"/>
      <c r="L10" s="6"/>
      <c r="N10" s="13"/>
      <c r="O10" s="19"/>
      <c r="P10" s="19"/>
      <c r="Q10" s="19"/>
      <c r="R10" s="19"/>
      <c r="S10" s="19"/>
      <c r="T10" s="19"/>
      <c r="U10">
        <v>0</v>
      </c>
      <c r="V10">
        <v>0</v>
      </c>
      <c r="W10">
        <v>0</v>
      </c>
      <c r="X10">
        <v>3</v>
      </c>
      <c r="Y10">
        <v>0</v>
      </c>
      <c r="Z10">
        <v>0</v>
      </c>
      <c r="AA10">
        <v>3</v>
      </c>
      <c r="AB10">
        <v>0</v>
      </c>
    </row>
    <row r="11" spans="1:34" x14ac:dyDescent="0.25">
      <c r="A11" s="9" t="s">
        <v>33</v>
      </c>
      <c r="B11" s="11" t="s">
        <v>104</v>
      </c>
      <c r="C11" s="9">
        <f t="shared" si="0"/>
        <v>4</v>
      </c>
      <c r="G11" s="5">
        <v>0</v>
      </c>
      <c r="H11" s="5">
        <v>6</v>
      </c>
      <c r="I11" s="5">
        <v>6</v>
      </c>
      <c r="J11" s="6">
        <v>0</v>
      </c>
      <c r="K11" s="6">
        <v>6</v>
      </c>
      <c r="L11" s="6">
        <v>6</v>
      </c>
      <c r="M11" s="5">
        <v>6</v>
      </c>
      <c r="N11" s="13">
        <v>6</v>
      </c>
      <c r="O11">
        <v>6</v>
      </c>
      <c r="P11">
        <v>6</v>
      </c>
      <c r="Q11">
        <v>6</v>
      </c>
      <c r="R11">
        <v>6</v>
      </c>
      <c r="S11">
        <v>0</v>
      </c>
      <c r="T11">
        <v>6</v>
      </c>
      <c r="U11">
        <v>6</v>
      </c>
      <c r="V11">
        <v>6</v>
      </c>
      <c r="W11">
        <v>0</v>
      </c>
      <c r="X11">
        <v>0</v>
      </c>
      <c r="Y11">
        <v>0</v>
      </c>
      <c r="Z11">
        <v>0</v>
      </c>
      <c r="AA11">
        <v>6</v>
      </c>
      <c r="AB11">
        <v>0</v>
      </c>
    </row>
    <row r="12" spans="1:34" x14ac:dyDescent="0.25">
      <c r="A12" s="9" t="s">
        <v>45</v>
      </c>
      <c r="B12" s="11" t="s">
        <v>104</v>
      </c>
      <c r="C12" s="9">
        <f t="shared" si="0"/>
        <v>6</v>
      </c>
      <c r="D12" s="10">
        <v>6</v>
      </c>
      <c r="E12" s="5">
        <v>6</v>
      </c>
      <c r="F12" s="5">
        <v>6</v>
      </c>
      <c r="G12" s="5">
        <v>5</v>
      </c>
      <c r="H12" s="5">
        <v>6</v>
      </c>
      <c r="I12" s="5">
        <v>6</v>
      </c>
      <c r="J12" s="6">
        <v>6</v>
      </c>
      <c r="K12" s="6">
        <v>6</v>
      </c>
      <c r="L12" s="6">
        <v>6</v>
      </c>
      <c r="M12" s="5">
        <v>6</v>
      </c>
      <c r="N12" s="13">
        <v>6</v>
      </c>
      <c r="O12">
        <v>6</v>
      </c>
      <c r="P12">
        <v>6</v>
      </c>
      <c r="Q12">
        <v>5</v>
      </c>
      <c r="R12">
        <v>6</v>
      </c>
      <c r="S12">
        <v>6</v>
      </c>
      <c r="T12">
        <v>6</v>
      </c>
      <c r="U12">
        <v>6</v>
      </c>
      <c r="V12">
        <v>6</v>
      </c>
      <c r="W12">
        <v>6</v>
      </c>
      <c r="X12">
        <v>6</v>
      </c>
      <c r="Y12">
        <v>6</v>
      </c>
      <c r="Z12">
        <v>6</v>
      </c>
      <c r="AA12">
        <v>6</v>
      </c>
      <c r="AB12">
        <v>6</v>
      </c>
    </row>
    <row r="13" spans="1:34" x14ac:dyDescent="0.25">
      <c r="A13" s="9" t="s">
        <v>53</v>
      </c>
      <c r="B13" s="11" t="s">
        <v>104</v>
      </c>
      <c r="C13" s="9">
        <f t="shared" si="0"/>
        <v>5</v>
      </c>
      <c r="D13" s="10">
        <v>6</v>
      </c>
      <c r="E13" s="5">
        <v>6</v>
      </c>
      <c r="F13" s="5">
        <v>6</v>
      </c>
      <c r="G13" s="5">
        <v>6</v>
      </c>
      <c r="H13" s="5">
        <v>6</v>
      </c>
      <c r="I13" s="5">
        <v>6</v>
      </c>
      <c r="J13" s="6">
        <v>6</v>
      </c>
      <c r="K13" s="6">
        <v>6</v>
      </c>
      <c r="L13" s="6">
        <v>6</v>
      </c>
      <c r="M13" s="5">
        <v>6</v>
      </c>
      <c r="N13" s="13">
        <v>6</v>
      </c>
      <c r="O13">
        <v>6</v>
      </c>
      <c r="P13">
        <v>6</v>
      </c>
      <c r="Q13">
        <v>6</v>
      </c>
      <c r="R13">
        <v>6</v>
      </c>
      <c r="S13">
        <v>6</v>
      </c>
      <c r="T13">
        <v>6</v>
      </c>
      <c r="U13">
        <v>6</v>
      </c>
      <c r="V13">
        <v>6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34" x14ac:dyDescent="0.25">
      <c r="A14" s="9" t="s">
        <v>114</v>
      </c>
      <c r="B14" s="11" t="s">
        <v>115</v>
      </c>
      <c r="C14" s="9">
        <f t="shared" si="0"/>
        <v>6</v>
      </c>
      <c r="H14" s="5">
        <v>6</v>
      </c>
      <c r="I14" s="5">
        <v>6</v>
      </c>
      <c r="J14" s="6">
        <v>6</v>
      </c>
      <c r="K14" s="6">
        <v>6</v>
      </c>
      <c r="L14" s="6">
        <v>6</v>
      </c>
      <c r="M14" s="5">
        <v>6</v>
      </c>
      <c r="N14" s="13">
        <v>6</v>
      </c>
      <c r="O14">
        <v>6</v>
      </c>
      <c r="P14">
        <v>6</v>
      </c>
      <c r="Q14">
        <v>6</v>
      </c>
      <c r="R14">
        <v>6</v>
      </c>
      <c r="S14">
        <v>6</v>
      </c>
      <c r="T14">
        <v>6</v>
      </c>
      <c r="U14">
        <v>6</v>
      </c>
      <c r="V14">
        <v>6</v>
      </c>
      <c r="W14">
        <v>6</v>
      </c>
      <c r="X14">
        <v>6</v>
      </c>
      <c r="Y14">
        <v>6</v>
      </c>
      <c r="Z14">
        <v>6</v>
      </c>
      <c r="AA14">
        <v>6</v>
      </c>
      <c r="AB14">
        <v>0</v>
      </c>
    </row>
    <row r="15" spans="1:34" x14ac:dyDescent="0.25">
      <c r="A15" s="9" t="s">
        <v>67</v>
      </c>
      <c r="B15" s="11" t="s">
        <v>104</v>
      </c>
      <c r="C15" s="9">
        <f t="shared" si="0"/>
        <v>5</v>
      </c>
      <c r="D15" s="10">
        <v>6</v>
      </c>
      <c r="E15" s="5">
        <v>6</v>
      </c>
      <c r="F15" s="5">
        <v>6</v>
      </c>
      <c r="G15" s="5">
        <v>6</v>
      </c>
      <c r="H15" s="5">
        <v>6</v>
      </c>
      <c r="I15" s="5">
        <v>6</v>
      </c>
      <c r="J15" s="6">
        <v>6</v>
      </c>
      <c r="K15" s="6">
        <v>6</v>
      </c>
      <c r="L15" s="6">
        <v>6</v>
      </c>
      <c r="M15" s="5">
        <v>6</v>
      </c>
      <c r="N15" s="13">
        <v>6</v>
      </c>
      <c r="O15">
        <v>6</v>
      </c>
      <c r="P15">
        <v>6</v>
      </c>
      <c r="Q15">
        <v>6</v>
      </c>
      <c r="R15">
        <v>6</v>
      </c>
      <c r="S15">
        <v>6</v>
      </c>
      <c r="T15">
        <v>6</v>
      </c>
      <c r="U15">
        <v>6</v>
      </c>
      <c r="V15">
        <v>0</v>
      </c>
      <c r="W15">
        <v>0</v>
      </c>
      <c r="X15">
        <v>0</v>
      </c>
      <c r="Y15">
        <v>0</v>
      </c>
      <c r="Z15">
        <v>0</v>
      </c>
      <c r="AA15">
        <v>6</v>
      </c>
      <c r="AB15">
        <v>0</v>
      </c>
    </row>
    <row r="16" spans="1:34" x14ac:dyDescent="0.25">
      <c r="A16" s="9" t="s">
        <v>116</v>
      </c>
      <c r="B16" s="11" t="s">
        <v>117</v>
      </c>
      <c r="C16" s="9">
        <f t="shared" si="0"/>
        <v>4</v>
      </c>
      <c r="K16" s="6"/>
      <c r="L16" s="6"/>
      <c r="M16" s="5">
        <v>6</v>
      </c>
      <c r="N16" s="13">
        <v>1</v>
      </c>
      <c r="O16">
        <v>6</v>
      </c>
      <c r="P16">
        <v>6</v>
      </c>
      <c r="Q16">
        <v>6</v>
      </c>
      <c r="R16">
        <v>6</v>
      </c>
      <c r="S16">
        <v>6</v>
      </c>
      <c r="T16">
        <v>6</v>
      </c>
      <c r="U16">
        <v>0</v>
      </c>
      <c r="V16">
        <v>6</v>
      </c>
      <c r="W16">
        <v>6</v>
      </c>
      <c r="X16">
        <v>6</v>
      </c>
      <c r="Y16">
        <v>6</v>
      </c>
      <c r="Z16">
        <v>0</v>
      </c>
      <c r="AA16">
        <v>0</v>
      </c>
      <c r="AB16">
        <v>0</v>
      </c>
    </row>
    <row r="17" spans="1:28" x14ac:dyDescent="0.25">
      <c r="A17" s="9" t="s">
        <v>64</v>
      </c>
      <c r="B17" s="11" t="s">
        <v>104</v>
      </c>
      <c r="C17" s="9">
        <f t="shared" si="0"/>
        <v>5</v>
      </c>
      <c r="D17" s="10">
        <v>6</v>
      </c>
      <c r="E17" s="5">
        <v>6</v>
      </c>
      <c r="F17" s="5">
        <v>6</v>
      </c>
      <c r="G17" s="5">
        <v>6</v>
      </c>
      <c r="H17" s="5">
        <v>6</v>
      </c>
      <c r="I17" s="5">
        <v>6</v>
      </c>
      <c r="J17" s="6">
        <v>6</v>
      </c>
      <c r="K17" s="6">
        <v>6</v>
      </c>
      <c r="L17" s="6">
        <v>6</v>
      </c>
      <c r="M17" s="5">
        <v>6</v>
      </c>
      <c r="N17" s="13">
        <v>6</v>
      </c>
      <c r="O17">
        <v>6</v>
      </c>
      <c r="P17">
        <v>6</v>
      </c>
      <c r="Q17">
        <v>6</v>
      </c>
      <c r="R17">
        <v>6</v>
      </c>
      <c r="S17">
        <v>6</v>
      </c>
      <c r="T17">
        <v>6</v>
      </c>
      <c r="U17">
        <v>6</v>
      </c>
      <c r="V17">
        <v>6</v>
      </c>
      <c r="W17">
        <v>6</v>
      </c>
      <c r="X17">
        <v>6</v>
      </c>
      <c r="Y17">
        <v>0</v>
      </c>
      <c r="Z17">
        <v>0</v>
      </c>
      <c r="AA17">
        <v>6</v>
      </c>
      <c r="AB17">
        <v>0</v>
      </c>
    </row>
    <row r="18" spans="1:28" x14ac:dyDescent="0.25">
      <c r="A18" s="9" t="s">
        <v>105</v>
      </c>
      <c r="B18" s="11" t="s">
        <v>170</v>
      </c>
      <c r="C18" s="9">
        <f t="shared" si="0"/>
        <v>5</v>
      </c>
      <c r="K18" s="6"/>
      <c r="L18" s="6"/>
      <c r="N18" s="6"/>
      <c r="O18" s="19"/>
      <c r="P18" s="19"/>
      <c r="Q18" s="19"/>
      <c r="R18">
        <v>0</v>
      </c>
      <c r="S18">
        <v>6</v>
      </c>
      <c r="T18">
        <v>6</v>
      </c>
      <c r="U18">
        <v>6</v>
      </c>
      <c r="V18">
        <v>6</v>
      </c>
      <c r="W18">
        <v>6</v>
      </c>
      <c r="X18">
        <v>5</v>
      </c>
      <c r="Y18">
        <v>6</v>
      </c>
      <c r="Z18">
        <v>6</v>
      </c>
      <c r="AA18">
        <v>6</v>
      </c>
      <c r="AB18">
        <v>6</v>
      </c>
    </row>
    <row r="19" spans="1:28" x14ac:dyDescent="0.25">
      <c r="A19" s="9" t="s">
        <v>59</v>
      </c>
      <c r="B19" s="11" t="s">
        <v>104</v>
      </c>
      <c r="C19" s="9">
        <f t="shared" si="0"/>
        <v>5</v>
      </c>
      <c r="G19" s="5">
        <v>0</v>
      </c>
      <c r="H19" s="5">
        <v>6</v>
      </c>
      <c r="I19" s="5">
        <v>6</v>
      </c>
      <c r="J19" s="6">
        <v>6</v>
      </c>
      <c r="K19" s="6">
        <v>6</v>
      </c>
      <c r="L19" s="6">
        <v>6</v>
      </c>
      <c r="M19" s="5">
        <v>6</v>
      </c>
      <c r="N19" s="6">
        <v>6</v>
      </c>
      <c r="O19">
        <v>6</v>
      </c>
      <c r="P19">
        <v>6</v>
      </c>
      <c r="Q19">
        <v>6</v>
      </c>
      <c r="R19">
        <v>6</v>
      </c>
      <c r="S19">
        <v>6</v>
      </c>
      <c r="T19">
        <v>6</v>
      </c>
      <c r="U19">
        <v>6</v>
      </c>
      <c r="V19">
        <v>6</v>
      </c>
      <c r="W19">
        <v>0</v>
      </c>
      <c r="X19">
        <v>6</v>
      </c>
      <c r="Y19">
        <v>2</v>
      </c>
      <c r="Z19">
        <v>2</v>
      </c>
      <c r="AA19">
        <v>0</v>
      </c>
      <c r="AB19">
        <v>3</v>
      </c>
    </row>
    <row r="20" spans="1:28" x14ac:dyDescent="0.25">
      <c r="A20" s="9" t="s">
        <v>57</v>
      </c>
      <c r="B20" s="11" t="s">
        <v>104</v>
      </c>
      <c r="C20" s="9">
        <f t="shared" si="0"/>
        <v>4</v>
      </c>
      <c r="D20" s="10">
        <v>6</v>
      </c>
      <c r="E20" s="5">
        <v>0</v>
      </c>
      <c r="F20" s="5">
        <v>6</v>
      </c>
      <c r="G20" s="5">
        <v>0</v>
      </c>
      <c r="H20" s="5">
        <v>5</v>
      </c>
      <c r="I20" s="5">
        <v>6</v>
      </c>
      <c r="J20" s="6">
        <v>6</v>
      </c>
      <c r="K20" s="6">
        <v>0</v>
      </c>
      <c r="L20" s="6">
        <v>0</v>
      </c>
      <c r="M20" s="5">
        <v>0</v>
      </c>
      <c r="N20" s="6">
        <v>0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v>0</v>
      </c>
      <c r="V20">
        <v>5</v>
      </c>
      <c r="W20">
        <v>6</v>
      </c>
      <c r="X20">
        <v>6</v>
      </c>
      <c r="Y20">
        <v>6</v>
      </c>
      <c r="Z20">
        <v>6</v>
      </c>
      <c r="AA20">
        <v>6</v>
      </c>
      <c r="AB20">
        <v>6</v>
      </c>
    </row>
    <row r="21" spans="1:28" x14ac:dyDescent="0.25">
      <c r="A21" s="9" t="s">
        <v>112</v>
      </c>
      <c r="B21" s="11" t="s">
        <v>168</v>
      </c>
      <c r="C21" s="9">
        <f t="shared" si="0"/>
        <v>3</v>
      </c>
      <c r="K21" s="6"/>
      <c r="L21" s="6"/>
      <c r="N21" s="6"/>
      <c r="O21" s="20">
        <v>5</v>
      </c>
      <c r="P21" s="20">
        <v>6</v>
      </c>
      <c r="Q21" s="20">
        <v>6</v>
      </c>
      <c r="R21">
        <v>6</v>
      </c>
      <c r="S21">
        <v>6</v>
      </c>
      <c r="T21">
        <v>6</v>
      </c>
      <c r="U21">
        <v>6</v>
      </c>
      <c r="V21">
        <v>0</v>
      </c>
      <c r="W21">
        <v>0</v>
      </c>
      <c r="X21">
        <v>2</v>
      </c>
      <c r="Y21">
        <v>0</v>
      </c>
      <c r="Z21">
        <v>2</v>
      </c>
      <c r="AA21">
        <v>0</v>
      </c>
      <c r="AB21">
        <v>0</v>
      </c>
    </row>
    <row r="22" spans="1:28" x14ac:dyDescent="0.25">
      <c r="A22" s="9" t="s">
        <v>68</v>
      </c>
      <c r="B22" s="11" t="s">
        <v>104</v>
      </c>
      <c r="C22" s="9">
        <f t="shared" si="0"/>
        <v>5</v>
      </c>
      <c r="G22" s="5">
        <v>6</v>
      </c>
      <c r="H22" s="5">
        <v>6</v>
      </c>
      <c r="I22" s="5">
        <v>6</v>
      </c>
      <c r="J22" s="6">
        <v>6</v>
      </c>
      <c r="K22" s="6">
        <v>6</v>
      </c>
      <c r="L22" s="6">
        <v>6</v>
      </c>
      <c r="M22" s="5">
        <v>6</v>
      </c>
      <c r="N22" s="6">
        <v>6</v>
      </c>
      <c r="O22" s="20">
        <v>6</v>
      </c>
      <c r="P22" s="20">
        <v>6</v>
      </c>
      <c r="Q22" s="20">
        <v>6</v>
      </c>
      <c r="R22">
        <v>6</v>
      </c>
      <c r="S22">
        <v>6</v>
      </c>
      <c r="T22">
        <v>6</v>
      </c>
      <c r="U22">
        <v>6</v>
      </c>
      <c r="V22">
        <v>6</v>
      </c>
      <c r="W22">
        <v>0</v>
      </c>
      <c r="X22">
        <v>0</v>
      </c>
      <c r="Y22">
        <v>0</v>
      </c>
      <c r="Z22">
        <v>0</v>
      </c>
      <c r="AA22">
        <v>0</v>
      </c>
      <c r="AB22">
        <v>3</v>
      </c>
    </row>
    <row r="23" spans="1:28" x14ac:dyDescent="0.25">
      <c r="A23" s="9" t="s">
        <v>50</v>
      </c>
      <c r="B23" s="11" t="s">
        <v>104</v>
      </c>
      <c r="C23" s="9">
        <f t="shared" si="0"/>
        <v>4</v>
      </c>
      <c r="G23" s="5">
        <v>0</v>
      </c>
      <c r="H23" s="5">
        <v>6</v>
      </c>
      <c r="I23" s="5">
        <v>6</v>
      </c>
      <c r="J23" s="6">
        <v>6</v>
      </c>
      <c r="K23" s="6">
        <v>6</v>
      </c>
      <c r="L23" s="6">
        <v>6</v>
      </c>
      <c r="M23" s="5">
        <v>6</v>
      </c>
      <c r="N23" s="6">
        <v>6</v>
      </c>
      <c r="O23" s="20">
        <v>6</v>
      </c>
      <c r="P23" s="20">
        <v>6</v>
      </c>
      <c r="Q23" s="20">
        <v>6</v>
      </c>
      <c r="R23">
        <v>6</v>
      </c>
      <c r="S23">
        <v>6</v>
      </c>
      <c r="T23">
        <v>6</v>
      </c>
      <c r="U23">
        <v>6</v>
      </c>
      <c r="V23">
        <v>6</v>
      </c>
      <c r="W23">
        <v>0</v>
      </c>
      <c r="X23">
        <v>3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 s="9" t="s">
        <v>107</v>
      </c>
      <c r="B24" s="11" t="s">
        <v>108</v>
      </c>
      <c r="C24" s="9">
        <f t="shared" si="0"/>
        <v>4</v>
      </c>
      <c r="L24" s="6">
        <v>6</v>
      </c>
      <c r="M24" s="5">
        <v>6</v>
      </c>
      <c r="N24" s="6">
        <v>6</v>
      </c>
      <c r="O24" s="20">
        <v>6</v>
      </c>
      <c r="P24" s="20">
        <v>6</v>
      </c>
      <c r="Q24" s="20">
        <v>6</v>
      </c>
      <c r="R24" s="20">
        <v>6</v>
      </c>
      <c r="S24">
        <v>6</v>
      </c>
      <c r="T24">
        <v>6</v>
      </c>
      <c r="U24">
        <v>6</v>
      </c>
      <c r="V24">
        <v>6</v>
      </c>
      <c r="W24">
        <v>0</v>
      </c>
      <c r="X24">
        <v>0</v>
      </c>
      <c r="Y24">
        <v>6</v>
      </c>
      <c r="Z24">
        <v>1</v>
      </c>
      <c r="AA24">
        <v>0</v>
      </c>
      <c r="AB24">
        <v>0</v>
      </c>
    </row>
    <row r="25" spans="1:28" x14ac:dyDescent="0.25">
      <c r="A25" s="9" t="s">
        <v>113</v>
      </c>
      <c r="B25" s="11" t="s">
        <v>166</v>
      </c>
      <c r="C25" s="9">
        <f t="shared" si="0"/>
        <v>5</v>
      </c>
      <c r="K25" s="6">
        <v>6</v>
      </c>
      <c r="L25" s="6">
        <v>6</v>
      </c>
      <c r="M25" s="5">
        <v>6</v>
      </c>
      <c r="N25" s="6">
        <v>6</v>
      </c>
      <c r="O25" s="20">
        <v>6</v>
      </c>
      <c r="P25" s="20">
        <v>6</v>
      </c>
      <c r="Q25" s="20">
        <v>6</v>
      </c>
      <c r="R25" s="20">
        <v>6</v>
      </c>
      <c r="S25">
        <v>6</v>
      </c>
      <c r="T25">
        <v>6</v>
      </c>
      <c r="U25">
        <v>6</v>
      </c>
      <c r="V25">
        <v>6</v>
      </c>
      <c r="W25">
        <v>4</v>
      </c>
      <c r="X25">
        <v>2</v>
      </c>
      <c r="Y25">
        <v>6</v>
      </c>
      <c r="Z25">
        <v>5</v>
      </c>
      <c r="AA25">
        <v>2</v>
      </c>
      <c r="AB25">
        <v>0</v>
      </c>
    </row>
    <row r="26" spans="1:28" x14ac:dyDescent="0.25">
      <c r="A26" s="9" t="s">
        <v>46</v>
      </c>
      <c r="B26" s="11" t="s">
        <v>104</v>
      </c>
      <c r="C26" s="9">
        <f t="shared" si="0"/>
        <v>5</v>
      </c>
      <c r="D26" s="10">
        <v>6</v>
      </c>
      <c r="E26" s="5">
        <v>6</v>
      </c>
      <c r="F26" s="5">
        <v>6</v>
      </c>
      <c r="G26" s="5">
        <v>6</v>
      </c>
      <c r="H26" s="5">
        <v>6</v>
      </c>
      <c r="I26" s="5">
        <v>6</v>
      </c>
      <c r="J26" s="6">
        <v>6</v>
      </c>
      <c r="K26" s="6">
        <v>6</v>
      </c>
      <c r="L26" s="6">
        <v>6</v>
      </c>
      <c r="M26" s="5">
        <v>6</v>
      </c>
      <c r="N26" s="6">
        <v>6</v>
      </c>
      <c r="O26" s="20">
        <v>6</v>
      </c>
      <c r="P26" s="20">
        <v>6</v>
      </c>
      <c r="Q26" s="20">
        <v>6</v>
      </c>
      <c r="R26" s="20">
        <v>6</v>
      </c>
      <c r="S26">
        <v>6</v>
      </c>
      <c r="T26">
        <v>4</v>
      </c>
      <c r="U26">
        <v>0</v>
      </c>
      <c r="V26">
        <v>6</v>
      </c>
      <c r="W26">
        <v>3</v>
      </c>
      <c r="X26">
        <v>5</v>
      </c>
      <c r="Y26">
        <v>0</v>
      </c>
      <c r="Z26">
        <v>0</v>
      </c>
      <c r="AA26">
        <v>4</v>
      </c>
      <c r="AB26">
        <v>0</v>
      </c>
    </row>
    <row r="27" spans="1:28" x14ac:dyDescent="0.25">
      <c r="A27" s="9" t="s">
        <v>63</v>
      </c>
      <c r="B27" s="11" t="s">
        <v>104</v>
      </c>
      <c r="C27" s="9">
        <f t="shared" si="0"/>
        <v>4</v>
      </c>
      <c r="D27" s="10">
        <v>0</v>
      </c>
      <c r="E27" s="5">
        <v>6</v>
      </c>
      <c r="F27" s="5">
        <v>6</v>
      </c>
      <c r="G27" s="5">
        <v>6</v>
      </c>
      <c r="H27" s="5">
        <v>6</v>
      </c>
      <c r="I27" s="5">
        <v>6</v>
      </c>
      <c r="J27" s="6">
        <v>5</v>
      </c>
      <c r="K27" s="6">
        <v>6</v>
      </c>
      <c r="L27" s="6">
        <v>6</v>
      </c>
      <c r="M27" s="5">
        <v>6</v>
      </c>
      <c r="N27" s="6">
        <v>6</v>
      </c>
      <c r="O27" s="20">
        <v>6</v>
      </c>
      <c r="P27" s="20">
        <v>6</v>
      </c>
      <c r="Q27" s="20">
        <v>6</v>
      </c>
      <c r="R27" s="20">
        <v>6</v>
      </c>
      <c r="S27" s="20">
        <v>6</v>
      </c>
      <c r="T27">
        <v>6</v>
      </c>
      <c r="U27">
        <v>6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 s="9" t="s">
        <v>61</v>
      </c>
      <c r="B28" s="11" t="s">
        <v>104</v>
      </c>
      <c r="C28" s="9">
        <f t="shared" si="0"/>
        <v>5</v>
      </c>
      <c r="D28" s="10">
        <v>6</v>
      </c>
      <c r="E28" s="5">
        <v>6</v>
      </c>
      <c r="F28" s="5">
        <v>6</v>
      </c>
      <c r="G28" s="5">
        <v>6</v>
      </c>
      <c r="H28" s="5">
        <v>6</v>
      </c>
      <c r="I28" s="5">
        <v>6</v>
      </c>
      <c r="J28" s="6">
        <v>6</v>
      </c>
      <c r="K28" s="6">
        <v>6</v>
      </c>
      <c r="L28" s="6">
        <v>6</v>
      </c>
      <c r="M28" s="5">
        <v>6</v>
      </c>
      <c r="N28" s="6">
        <v>6</v>
      </c>
      <c r="O28" s="20">
        <v>6</v>
      </c>
      <c r="P28" s="20">
        <v>6</v>
      </c>
      <c r="Q28" s="20">
        <v>6</v>
      </c>
      <c r="R28" s="20">
        <v>6</v>
      </c>
      <c r="S28" s="20">
        <v>6</v>
      </c>
      <c r="T28">
        <v>6</v>
      </c>
      <c r="U28">
        <v>6</v>
      </c>
      <c r="V28">
        <v>6</v>
      </c>
      <c r="W28">
        <v>6</v>
      </c>
      <c r="X28">
        <v>4</v>
      </c>
      <c r="Y28">
        <v>3</v>
      </c>
      <c r="Z28">
        <v>0</v>
      </c>
      <c r="AA28">
        <v>0</v>
      </c>
      <c r="AB28">
        <v>0</v>
      </c>
    </row>
    <row r="29" spans="1:28" x14ac:dyDescent="0.25">
      <c r="A29" s="9" t="s">
        <v>35</v>
      </c>
      <c r="B29" s="11" t="s">
        <v>104</v>
      </c>
      <c r="C29" s="9">
        <f t="shared" si="0"/>
        <v>5</v>
      </c>
      <c r="J29" s="6"/>
      <c r="K29" s="6">
        <v>6</v>
      </c>
      <c r="L29" s="6">
        <v>6</v>
      </c>
      <c r="M29" s="5">
        <v>6</v>
      </c>
      <c r="N29" s="6">
        <v>6</v>
      </c>
      <c r="O29" s="20">
        <v>6</v>
      </c>
      <c r="P29" s="20">
        <v>6</v>
      </c>
      <c r="Q29" s="20">
        <v>6</v>
      </c>
      <c r="R29" s="20">
        <v>6</v>
      </c>
      <c r="S29" s="20">
        <v>6</v>
      </c>
      <c r="T29" s="20">
        <v>6</v>
      </c>
      <c r="U29">
        <v>6</v>
      </c>
      <c r="V29">
        <v>0</v>
      </c>
      <c r="W29">
        <v>5</v>
      </c>
      <c r="X29">
        <v>6</v>
      </c>
      <c r="Y29">
        <v>6</v>
      </c>
      <c r="Z29">
        <v>6</v>
      </c>
      <c r="AA29">
        <v>6</v>
      </c>
      <c r="AB29">
        <v>0</v>
      </c>
    </row>
    <row r="30" spans="1:28" x14ac:dyDescent="0.25">
      <c r="A30" s="9" t="s">
        <v>60</v>
      </c>
      <c r="B30" s="11" t="s">
        <v>104</v>
      </c>
      <c r="C30" s="9">
        <f t="shared" si="0"/>
        <v>5</v>
      </c>
      <c r="G30" s="5">
        <v>6</v>
      </c>
      <c r="H30" s="5">
        <v>6</v>
      </c>
      <c r="I30" s="5">
        <v>6</v>
      </c>
      <c r="J30" s="6">
        <v>6</v>
      </c>
      <c r="K30" s="6">
        <v>6</v>
      </c>
      <c r="L30" s="6">
        <v>6</v>
      </c>
      <c r="M30" s="5">
        <v>6</v>
      </c>
      <c r="N30" s="6">
        <v>6</v>
      </c>
      <c r="O30" s="20">
        <v>6</v>
      </c>
      <c r="P30" s="20">
        <v>1</v>
      </c>
      <c r="Q30" s="20">
        <v>6</v>
      </c>
      <c r="R30" s="20">
        <v>6</v>
      </c>
      <c r="S30" s="20">
        <v>6</v>
      </c>
      <c r="T30" s="20">
        <v>6</v>
      </c>
      <c r="U30" s="20">
        <v>6</v>
      </c>
      <c r="V30">
        <v>0</v>
      </c>
      <c r="W30">
        <v>6</v>
      </c>
      <c r="X30">
        <v>2</v>
      </c>
      <c r="Y30">
        <v>0</v>
      </c>
      <c r="Z30">
        <v>5</v>
      </c>
      <c r="AA30">
        <v>0</v>
      </c>
      <c r="AB30">
        <v>6</v>
      </c>
    </row>
    <row r="31" spans="1:28" x14ac:dyDescent="0.25">
      <c r="A31" s="9" t="s">
        <v>120</v>
      </c>
      <c r="B31" s="11" t="s">
        <v>171</v>
      </c>
      <c r="C31" s="9">
        <f t="shared" si="0"/>
        <v>2</v>
      </c>
      <c r="K31" s="6">
        <v>6</v>
      </c>
      <c r="L31" s="6">
        <v>6</v>
      </c>
      <c r="M31" s="5">
        <v>0</v>
      </c>
      <c r="N31" s="6">
        <v>0</v>
      </c>
      <c r="O31" s="20">
        <v>6</v>
      </c>
      <c r="P31" s="20">
        <v>6</v>
      </c>
      <c r="Q31" s="20">
        <v>6</v>
      </c>
      <c r="R31" s="20">
        <v>0</v>
      </c>
      <c r="S31" s="20">
        <v>0</v>
      </c>
      <c r="T31" s="20">
        <v>0</v>
      </c>
      <c r="U31" s="20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25">
      <c r="A32" s="9" t="s">
        <v>121</v>
      </c>
      <c r="B32" s="11" t="s">
        <v>172</v>
      </c>
      <c r="C32" s="9">
        <f t="shared" si="0"/>
        <v>2</v>
      </c>
      <c r="K32" s="6"/>
      <c r="L32" s="6"/>
      <c r="N32" s="6"/>
      <c r="O32" s="20"/>
      <c r="P32" s="20"/>
      <c r="Q32" s="20"/>
      <c r="R32" s="20"/>
      <c r="S32" s="20"/>
      <c r="T32" s="20"/>
      <c r="U32" s="20"/>
      <c r="V32">
        <v>0</v>
      </c>
      <c r="W32">
        <v>0</v>
      </c>
      <c r="X32">
        <v>6</v>
      </c>
      <c r="Y32">
        <v>0</v>
      </c>
      <c r="Z32">
        <v>3</v>
      </c>
      <c r="AA32">
        <v>6</v>
      </c>
      <c r="AB32">
        <v>0</v>
      </c>
    </row>
    <row r="33" spans="1:28" x14ac:dyDescent="0.25">
      <c r="A33" s="9" t="s">
        <v>130</v>
      </c>
      <c r="B33" s="11" t="s">
        <v>173</v>
      </c>
      <c r="C33" s="9">
        <f t="shared" si="0"/>
        <v>3</v>
      </c>
      <c r="K33" s="6"/>
      <c r="L33" s="6"/>
      <c r="N33" s="6"/>
      <c r="O33" s="20"/>
      <c r="P33" s="20"/>
      <c r="Q33" s="20"/>
      <c r="R33" s="20"/>
      <c r="S33" s="20"/>
      <c r="T33" s="20"/>
      <c r="U33" s="20"/>
      <c r="W33">
        <v>6</v>
      </c>
      <c r="X33">
        <v>6</v>
      </c>
      <c r="Y33">
        <v>0</v>
      </c>
      <c r="Z33">
        <v>0</v>
      </c>
      <c r="AA33">
        <v>6</v>
      </c>
      <c r="AB33">
        <v>0</v>
      </c>
    </row>
    <row r="34" spans="1:28" x14ac:dyDescent="0.25">
      <c r="A34" s="9" t="s">
        <v>125</v>
      </c>
      <c r="B34" s="11" t="s">
        <v>174</v>
      </c>
      <c r="C34" s="9">
        <f t="shared" si="0"/>
        <v>5</v>
      </c>
      <c r="K34" s="6"/>
      <c r="L34" s="6"/>
      <c r="N34" s="6"/>
      <c r="O34" s="20"/>
      <c r="P34" s="20"/>
      <c r="Q34" s="20"/>
      <c r="R34" s="20"/>
      <c r="S34" s="20"/>
      <c r="T34" s="20"/>
      <c r="U34" s="20"/>
      <c r="Y34">
        <v>6</v>
      </c>
      <c r="Z34">
        <v>3</v>
      </c>
      <c r="AA34">
        <v>6</v>
      </c>
      <c r="AB34">
        <v>3</v>
      </c>
    </row>
    <row r="35" spans="1:28" x14ac:dyDescent="0.25">
      <c r="A35" s="9" t="s">
        <v>123</v>
      </c>
      <c r="B35" s="11" t="s">
        <v>174</v>
      </c>
      <c r="C35" s="9">
        <f t="shared" si="0"/>
        <v>0</v>
      </c>
      <c r="K35" s="6"/>
      <c r="L35" s="6"/>
      <c r="N35" s="6"/>
      <c r="O35" s="20"/>
      <c r="P35" s="20"/>
      <c r="Q35" s="20"/>
      <c r="R35" s="20"/>
      <c r="S35" s="20"/>
      <c r="T35" s="20"/>
      <c r="U35" s="20"/>
      <c r="Y35">
        <v>0</v>
      </c>
      <c r="Z35">
        <v>0</v>
      </c>
      <c r="AA35">
        <v>0</v>
      </c>
      <c r="AB35">
        <v>0</v>
      </c>
    </row>
    <row r="36" spans="1:28" x14ac:dyDescent="0.25">
      <c r="A36" s="9" t="s">
        <v>124</v>
      </c>
      <c r="B36" s="11" t="s">
        <v>175</v>
      </c>
      <c r="C36" s="9">
        <f t="shared" si="0"/>
        <v>5</v>
      </c>
      <c r="K36" s="6"/>
      <c r="L36" s="6"/>
      <c r="N36" s="6"/>
      <c r="O36" s="20"/>
      <c r="P36" s="20"/>
      <c r="Q36" s="20"/>
      <c r="R36" s="20"/>
      <c r="S36" s="20"/>
      <c r="T36" s="20"/>
      <c r="U36" s="20"/>
      <c r="Z36">
        <v>6</v>
      </c>
      <c r="AA36">
        <v>3</v>
      </c>
      <c r="AB36">
        <v>6</v>
      </c>
    </row>
    <row r="37" spans="1:28" x14ac:dyDescent="0.25">
      <c r="A37" s="9" t="s">
        <v>128</v>
      </c>
      <c r="B37" s="11" t="s">
        <v>176</v>
      </c>
      <c r="C37" s="9">
        <f t="shared" si="0"/>
        <v>0</v>
      </c>
      <c r="K37" s="6"/>
      <c r="L37" s="6"/>
      <c r="N37" s="6"/>
      <c r="O37" s="20"/>
      <c r="P37" s="20"/>
      <c r="Q37" s="20"/>
      <c r="R37" s="20"/>
      <c r="S37" s="20"/>
      <c r="T37" s="20"/>
      <c r="U37" s="20"/>
      <c r="AA37">
        <v>0</v>
      </c>
      <c r="AB37">
        <v>0</v>
      </c>
    </row>
    <row r="38" spans="1:28" x14ac:dyDescent="0.25">
      <c r="A38" s="9" t="s">
        <v>135</v>
      </c>
      <c r="B38" s="11" t="s">
        <v>176</v>
      </c>
      <c r="C38" s="9">
        <f t="shared" si="0"/>
        <v>2</v>
      </c>
      <c r="K38" s="6"/>
      <c r="L38" s="6"/>
      <c r="N38" s="6"/>
      <c r="O38" s="20"/>
      <c r="P38" s="20"/>
      <c r="Q38" s="20"/>
      <c r="R38" s="20"/>
      <c r="S38" s="20"/>
      <c r="T38" s="20"/>
      <c r="U38" s="20"/>
      <c r="AA38">
        <v>3</v>
      </c>
      <c r="AB38">
        <v>0</v>
      </c>
    </row>
    <row r="39" spans="1:28" x14ac:dyDescent="0.25">
      <c r="A39" s="9" t="s">
        <v>133</v>
      </c>
      <c r="B39" s="11" t="s">
        <v>176</v>
      </c>
      <c r="C39" s="9">
        <f t="shared" si="0"/>
        <v>0</v>
      </c>
      <c r="K39" s="6"/>
      <c r="L39" s="6"/>
      <c r="N39" s="6"/>
      <c r="O39" s="20"/>
      <c r="P39" s="20"/>
      <c r="Q39" s="20"/>
      <c r="R39" s="20"/>
      <c r="S39" s="20"/>
      <c r="T39" s="20"/>
      <c r="U39" s="20"/>
      <c r="AA39">
        <v>0</v>
      </c>
      <c r="AB39">
        <v>0</v>
      </c>
    </row>
    <row r="40" spans="1:28" x14ac:dyDescent="0.25">
      <c r="A40" s="9" t="s">
        <v>134</v>
      </c>
      <c r="B40" s="11" t="s">
        <v>127</v>
      </c>
      <c r="C40" s="9">
        <f t="shared" si="0"/>
        <v>6</v>
      </c>
      <c r="K40" s="6"/>
      <c r="L40" s="6"/>
      <c r="N40" s="6"/>
      <c r="O40" s="20"/>
      <c r="P40" s="20"/>
      <c r="Q40" s="20"/>
      <c r="R40" s="20"/>
      <c r="S40" s="20"/>
      <c r="T40" s="20"/>
      <c r="U40" s="20"/>
      <c r="AB40">
        <v>6</v>
      </c>
    </row>
    <row r="41" spans="1:28" x14ac:dyDescent="0.25">
      <c r="A41" s="9" t="s">
        <v>132</v>
      </c>
      <c r="B41" s="11" t="s">
        <v>127</v>
      </c>
      <c r="C41" s="9">
        <f t="shared" si="0"/>
        <v>6</v>
      </c>
      <c r="K41" s="6"/>
      <c r="L41" s="6"/>
      <c r="N41" s="6"/>
      <c r="O41" s="20"/>
      <c r="P41" s="20"/>
      <c r="Q41" s="20"/>
      <c r="R41" s="20"/>
      <c r="S41" s="20"/>
      <c r="T41" s="20"/>
      <c r="U41" s="20"/>
      <c r="AB41">
        <v>6</v>
      </c>
    </row>
    <row r="42" spans="1:28" x14ac:dyDescent="0.25">
      <c r="A42" s="9" t="s">
        <v>131</v>
      </c>
      <c r="B42" s="11" t="s">
        <v>127</v>
      </c>
      <c r="C42" s="9">
        <f t="shared" si="0"/>
        <v>0</v>
      </c>
      <c r="K42" s="6"/>
      <c r="L42" s="6"/>
      <c r="N42" s="6"/>
      <c r="O42" s="20"/>
      <c r="P42" s="20"/>
      <c r="Q42" s="20"/>
      <c r="R42" s="20"/>
      <c r="S42" s="20"/>
      <c r="T42" s="20"/>
      <c r="U42" s="20"/>
      <c r="AB42">
        <v>0</v>
      </c>
    </row>
    <row r="43" spans="1:28" x14ac:dyDescent="0.25">
      <c r="A43" s="9" t="s">
        <v>126</v>
      </c>
      <c r="B43" s="11" t="s">
        <v>127</v>
      </c>
      <c r="C43" s="9">
        <f t="shared" si="0"/>
        <v>0</v>
      </c>
      <c r="K43" s="6"/>
      <c r="L43" s="6"/>
      <c r="N43" s="6"/>
      <c r="O43" s="20"/>
      <c r="P43" s="20"/>
      <c r="Q43" s="20"/>
      <c r="R43" s="20"/>
      <c r="S43" s="20"/>
      <c r="T43" s="20"/>
      <c r="U43" s="20"/>
      <c r="AB43">
        <v>0</v>
      </c>
    </row>
    <row r="44" spans="1:28" x14ac:dyDescent="0.25">
      <c r="A44" s="9" t="s">
        <v>129</v>
      </c>
      <c r="B44" s="11" t="s">
        <v>127</v>
      </c>
      <c r="C44" s="9">
        <f t="shared" si="0"/>
        <v>0</v>
      </c>
      <c r="K44" s="6"/>
      <c r="L44" s="6"/>
      <c r="N44" s="6"/>
      <c r="O44" s="20"/>
      <c r="P44" s="20"/>
      <c r="Q44" s="20"/>
      <c r="R44" s="20"/>
      <c r="S44" s="20"/>
      <c r="T44" s="20"/>
      <c r="U44" s="20"/>
      <c r="AB44">
        <v>0</v>
      </c>
    </row>
    <row r="50" ht="15.75" customHeight="1" x14ac:dyDescent="0.25"/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 t="s">
        <v>19</v>
      </c>
      <c r="B2">
        <v>0</v>
      </c>
    </row>
    <row r="3" spans="1:19" x14ac:dyDescent="0.25">
      <c r="A3" s="1" t="s">
        <v>20</v>
      </c>
      <c r="B3">
        <v>0</v>
      </c>
    </row>
    <row r="4" spans="1:19" x14ac:dyDescent="0.25">
      <c r="A4" s="1" t="s">
        <v>21</v>
      </c>
      <c r="B4">
        <v>0</v>
      </c>
    </row>
    <row r="5" spans="1:19" x14ac:dyDescent="0.25">
      <c r="A5" s="1" t="s">
        <v>22</v>
      </c>
      <c r="B5">
        <v>3</v>
      </c>
    </row>
    <row r="6" spans="1:19" x14ac:dyDescent="0.25">
      <c r="A6" s="1" t="s">
        <v>23</v>
      </c>
      <c r="B6">
        <v>3</v>
      </c>
    </row>
    <row r="7" spans="1:19" x14ac:dyDescent="0.25">
      <c r="A7" s="1" t="s">
        <v>24</v>
      </c>
      <c r="B7">
        <v>9</v>
      </c>
    </row>
    <row r="8" spans="1:19" x14ac:dyDescent="0.25">
      <c r="A8" s="1" t="s">
        <v>25</v>
      </c>
      <c r="B8">
        <v>9</v>
      </c>
    </row>
    <row r="9" spans="1:19" x14ac:dyDescent="0.25">
      <c r="A9" s="1" t="s">
        <v>26</v>
      </c>
      <c r="B9">
        <v>12</v>
      </c>
    </row>
    <row r="10" spans="1:19" x14ac:dyDescent="0.25">
      <c r="A10" s="1" t="s">
        <v>27</v>
      </c>
      <c r="B10">
        <v>15</v>
      </c>
    </row>
    <row r="11" spans="1:19" x14ac:dyDescent="0.25">
      <c r="A11" s="1" t="s">
        <v>28</v>
      </c>
      <c r="B11">
        <v>19</v>
      </c>
    </row>
    <row r="12" spans="1:19" x14ac:dyDescent="0.25">
      <c r="A12" s="1" t="s">
        <v>29</v>
      </c>
      <c r="B12">
        <v>20</v>
      </c>
    </row>
    <row r="13" spans="1:19" x14ac:dyDescent="0.25">
      <c r="A13" s="1" t="s">
        <v>30</v>
      </c>
      <c r="B13">
        <v>21</v>
      </c>
    </row>
    <row r="14" spans="1:19" x14ac:dyDescent="0.25">
      <c r="A14" s="1" t="s">
        <v>31</v>
      </c>
      <c r="B14">
        <v>29</v>
      </c>
    </row>
    <row r="15" spans="1:19" x14ac:dyDescent="0.25">
      <c r="A15" s="1" t="s">
        <v>32</v>
      </c>
      <c r="B15">
        <v>32</v>
      </c>
    </row>
    <row r="16" spans="1:19" x14ac:dyDescent="0.25">
      <c r="A16" s="1" t="s">
        <v>33</v>
      </c>
      <c r="B16">
        <v>37</v>
      </c>
    </row>
    <row r="17" spans="1:2" x14ac:dyDescent="0.25">
      <c r="A17" s="1" t="s">
        <v>34</v>
      </c>
      <c r="B17">
        <v>38</v>
      </c>
    </row>
    <row r="18" spans="1:2" x14ac:dyDescent="0.25">
      <c r="A18" s="1" t="s">
        <v>35</v>
      </c>
      <c r="B18">
        <v>43</v>
      </c>
    </row>
    <row r="19" spans="1:2" x14ac:dyDescent="0.25">
      <c r="A19" s="1" t="s">
        <v>36</v>
      </c>
      <c r="B19">
        <v>47</v>
      </c>
    </row>
    <row r="20" spans="1:2" x14ac:dyDescent="0.25">
      <c r="A20" s="1" t="s">
        <v>37</v>
      </c>
      <c r="B20">
        <v>54</v>
      </c>
    </row>
    <row r="21" spans="1:2" x14ac:dyDescent="0.25">
      <c r="A21" s="1" t="s">
        <v>38</v>
      </c>
      <c r="B21">
        <v>58</v>
      </c>
    </row>
    <row r="22" spans="1:2" x14ac:dyDescent="0.25">
      <c r="A22" s="1" t="s">
        <v>39</v>
      </c>
      <c r="B22">
        <v>61</v>
      </c>
    </row>
    <row r="23" spans="1:2" x14ac:dyDescent="0.25">
      <c r="A23" s="1" t="s">
        <v>40</v>
      </c>
      <c r="B23">
        <v>70</v>
      </c>
    </row>
    <row r="24" spans="1:2" x14ac:dyDescent="0.25">
      <c r="A24" s="1" t="s">
        <v>41</v>
      </c>
      <c r="B24">
        <v>72</v>
      </c>
    </row>
    <row r="25" spans="1:2" x14ac:dyDescent="0.25">
      <c r="A25" s="1" t="s">
        <v>42</v>
      </c>
      <c r="B25">
        <v>87</v>
      </c>
    </row>
    <row r="26" spans="1:2" x14ac:dyDescent="0.25">
      <c r="A26" s="1" t="s">
        <v>43</v>
      </c>
      <c r="B26">
        <v>92</v>
      </c>
    </row>
    <row r="27" spans="1:2" x14ac:dyDescent="0.25">
      <c r="A27" s="1" t="s">
        <v>44</v>
      </c>
      <c r="B27">
        <v>96</v>
      </c>
    </row>
    <row r="28" spans="1:2" x14ac:dyDescent="0.25">
      <c r="A28" s="1" t="s">
        <v>45</v>
      </c>
      <c r="B28">
        <v>102</v>
      </c>
    </row>
    <row r="29" spans="1:2" x14ac:dyDescent="0.25">
      <c r="A29" s="1" t="s">
        <v>46</v>
      </c>
      <c r="B29">
        <v>103</v>
      </c>
    </row>
    <row r="30" spans="1:2" x14ac:dyDescent="0.25">
      <c r="A30" s="1" t="s">
        <v>47</v>
      </c>
      <c r="B30">
        <v>105</v>
      </c>
    </row>
    <row r="31" spans="1:2" x14ac:dyDescent="0.25">
      <c r="A31" s="1" t="s">
        <v>48</v>
      </c>
      <c r="B31">
        <v>109</v>
      </c>
    </row>
    <row r="32" spans="1:2" x14ac:dyDescent="0.25">
      <c r="A32" s="1" t="s">
        <v>49</v>
      </c>
      <c r="B32">
        <v>130</v>
      </c>
    </row>
    <row r="33" spans="1:2" x14ac:dyDescent="0.25">
      <c r="A33" s="1" t="s">
        <v>50</v>
      </c>
      <c r="B33">
        <v>132</v>
      </c>
    </row>
    <row r="34" spans="1:2" x14ac:dyDescent="0.25">
      <c r="A34" s="1" t="s">
        <v>51</v>
      </c>
      <c r="B34">
        <v>169</v>
      </c>
    </row>
    <row r="35" spans="1:2" x14ac:dyDescent="0.25">
      <c r="A35" s="1" t="s">
        <v>52</v>
      </c>
      <c r="B35">
        <v>171</v>
      </c>
    </row>
    <row r="36" spans="1:2" x14ac:dyDescent="0.25">
      <c r="A36" s="1" t="s">
        <v>53</v>
      </c>
      <c r="B36">
        <v>192</v>
      </c>
    </row>
    <row r="37" spans="1:2" x14ac:dyDescent="0.25">
      <c r="A37" s="1" t="s">
        <v>54</v>
      </c>
      <c r="B37">
        <v>199</v>
      </c>
    </row>
    <row r="38" spans="1:2" x14ac:dyDescent="0.25">
      <c r="A38" s="1" t="s">
        <v>55</v>
      </c>
      <c r="B38">
        <v>212</v>
      </c>
    </row>
    <row r="39" spans="1:2" x14ac:dyDescent="0.25">
      <c r="A39" s="1" t="s">
        <v>56</v>
      </c>
      <c r="B39">
        <v>228</v>
      </c>
    </row>
    <row r="40" spans="1:2" x14ac:dyDescent="0.25">
      <c r="A40" s="1" t="s">
        <v>57</v>
      </c>
      <c r="B40">
        <v>237</v>
      </c>
    </row>
    <row r="41" spans="1:2" x14ac:dyDescent="0.25">
      <c r="A41" s="1" t="s">
        <v>58</v>
      </c>
      <c r="B41">
        <v>239</v>
      </c>
    </row>
    <row r="42" spans="1:2" x14ac:dyDescent="0.25">
      <c r="A42" s="1" t="s">
        <v>59</v>
      </c>
      <c r="B42">
        <v>282</v>
      </c>
    </row>
    <row r="43" spans="1:2" x14ac:dyDescent="0.25">
      <c r="A43" s="1" t="s">
        <v>60</v>
      </c>
      <c r="B43">
        <v>376</v>
      </c>
    </row>
    <row r="44" spans="1:2" x14ac:dyDescent="0.25">
      <c r="A44" s="1" t="s">
        <v>61</v>
      </c>
      <c r="B44">
        <v>388</v>
      </c>
    </row>
    <row r="45" spans="1:2" x14ac:dyDescent="0.25">
      <c r="A45" s="1" t="s">
        <v>62</v>
      </c>
      <c r="B45">
        <v>424</v>
      </c>
    </row>
    <row r="46" spans="1:2" x14ac:dyDescent="0.25">
      <c r="A46" s="1" t="s">
        <v>63</v>
      </c>
      <c r="B46">
        <v>491</v>
      </c>
    </row>
    <row r="47" spans="1:2" x14ac:dyDescent="0.25">
      <c r="A47" s="1" t="s">
        <v>64</v>
      </c>
      <c r="B47">
        <v>538</v>
      </c>
    </row>
    <row r="48" spans="1:2" x14ac:dyDescent="0.25">
      <c r="A48" s="1" t="s">
        <v>65</v>
      </c>
      <c r="B48">
        <v>552</v>
      </c>
    </row>
    <row r="49" spans="1:2" x14ac:dyDescent="0.25">
      <c r="A49" s="1" t="s">
        <v>66</v>
      </c>
      <c r="B49">
        <v>566</v>
      </c>
    </row>
    <row r="50" spans="1:2" x14ac:dyDescent="0.25">
      <c r="A50" s="1" t="s">
        <v>67</v>
      </c>
      <c r="B50">
        <v>650</v>
      </c>
    </row>
    <row r="51" spans="1:2" x14ac:dyDescent="0.25">
      <c r="A51" s="1" t="s">
        <v>68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2026-05-09T14:01:34Z</dcterms:modified>
</cp:coreProperties>
</file>