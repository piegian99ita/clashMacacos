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20001_{4BA4FE45-79EB-4967-BF9C-9BD05CB17102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clan games" sheetId="1" r:id="rId1"/>
    <sheet name="CLAN CAPITAL" sheetId="2" r:id="rId2"/>
    <sheet name="eventi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<sst xmlns="http://schemas.openxmlformats.org/spreadsheetml/2006/main" count="320" uniqueCount="132">
  <si>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</si>
  <si>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</si>
  <si>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</si>
  <si>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</si>
  <si>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</si>
  <si>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</si>
  <si>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</si>
  <si>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</si>
  <si>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</si>
  <si>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</si>
  <si>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</si>
  <si>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</si>
  <si>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</si>
  <si>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</si>
  <si>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</si>
  <si>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</si>
  <si>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</si>
  <si>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</si>
  <si>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</si>
  <si>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</si>
  <si>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</si>
  <si>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</si>
  <si>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</si>
  <si>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</si>
  <si>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</si>
  <si>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</si>
  <si>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</si>
  <si>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ajejebrazorf</t>
  </si>
  <si>
    <t>15/12/2025</t>
  </si>
  <si>
    <t>Alaa</t>
  </si>
  <si>
    <t>19/12/2025</t>
  </si>
  <si>
    <t>BigMc23</t>
  </si>
  <si>
    <t>Brazo</t>
  </si>
  <si>
    <t>buff x-bow</t>
  </si>
  <si>
    <t>Chabby</t>
  </si>
  <si>
    <t>Cleopatra</t>
  </si>
  <si>
    <t>Costa 第二个</t>
  </si>
  <si>
    <t>27/12/2025</t>
  </si>
  <si>
    <t>dado</t>
  </si>
  <si>
    <t>dux104</t>
  </si>
  <si>
    <t>EdoDodo</t>
  </si>
  <si>
    <t>ER DANDI 1927</t>
  </si>
  <si>
    <t>Favij</t>
  </si>
  <si>
    <t>filippo</t>
  </si>
  <si>
    <t>Floky23</t>
  </si>
  <si>
    <t>gionny</t>
  </si>
  <si>
    <t>Giorgio</t>
  </si>
  <si>
    <t>26/12/2025</t>
  </si>
  <si>
    <t>GiornoBrando</t>
  </si>
  <si>
    <t>21/12/2025</t>
  </si>
  <si>
    <t>giosan</t>
  </si>
  <si>
    <t>GX king</t>
  </si>
  <si>
    <t>haha</t>
  </si>
  <si>
    <t>HikariNoRob</t>
  </si>
  <si>
    <t>leo</t>
  </si>
  <si>
    <t>Luigi</t>
  </si>
  <si>
    <t>Luxor</t>
  </si>
  <si>
    <t>maikol_lix</t>
  </si>
  <si>
    <t>marcojk007</t>
  </si>
  <si>
    <t>Matty7_</t>
  </si>
  <si>
    <t>melamarcia32</t>
  </si>
  <si>
    <t>piegian99</t>
  </si>
  <si>
    <t>pigiamone99</t>
  </si>
  <si>
    <t>Pxnhxb</t>
  </si>
  <si>
    <t>R1cky_boffo</t>
  </si>
  <si>
    <t>RobbyCV</t>
  </si>
  <si>
    <t>Roberta</t>
  </si>
  <si>
    <t>serra008</t>
  </si>
  <si>
    <t>sidcu js</t>
  </si>
  <si>
    <t>Simone</t>
  </si>
  <si>
    <t>sono io lakaka</t>
  </si>
  <si>
    <t>Stentaaa</t>
  </si>
  <si>
    <t>SubOhm</t>
  </si>
  <si>
    <t>th4nos</t>
  </si>
  <si>
    <t>Valh</t>
  </si>
  <si>
    <t>xbladze</t>
  </si>
  <si>
    <t>zombra</t>
  </si>
  <si>
    <t>23/11/2025</t>
  </si>
  <si>
    <t>30/11/2025</t>
  </si>
  <si>
    <t>07/12/2025</t>
  </si>
  <si>
    <t>14/12/2025</t>
  </si>
  <si>
    <t>02/01/2026</t>
  </si>
  <si>
    <t>Colonna9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</si>
  <si>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</si>
  <si>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</si>
  <si>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</si>
  <si>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</si>
  <si>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</si>
  <si>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</si>
  <si>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</si>
  <si>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</si>
  <si>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</si>
  <si>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</si>
  <si>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</si>
  <si>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¥CATA¥</t>
  </si>
  <si>
    <t>03/01/2026</t>
  </si>
  <si>
    <t>Ale22</t>
  </si>
  <si>
    <t>ar_giaguaris</t>
  </si>
  <si>
    <t>Essenc3_kin4</t>
  </si>
  <si>
    <t>29/12/2025</t>
  </si>
  <si>
    <t>ggfgd</t>
  </si>
  <si>
    <t>Loris</t>
  </si>
  <si>
    <t>MASCHI</t>
  </si>
  <si>
    <t>omar</t>
  </si>
  <si>
    <t>Queen of Shadow</t>
  </si>
  <si>
    <t>xNullx</t>
  </si>
  <si>
    <t>zine</t>
  </si>
  <si>
    <t>zordan</t>
  </si>
  <si>
    <t>05/01/2026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</si>
  <si>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</si>
  <si>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</si>
  <si>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</si>
  <si>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</si>
  <si>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</si>
  <si>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</si>
  <si>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</si>
  <si>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</si>
  <si>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</si>
  <si>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LELE11GAM3R</t>
  </si>
  <si>
    <t>Rosario</t>
  </si>
  <si>
    <t>kakko garau</t>
  </si>
  <si>
    <t>shark</t>
  </si>
  <si>
    <t>⚡️ZAC⚡️</t>
  </si>
  <si>
    <t>hh</t>
  </si>
  <si>
    <t>king</t>
  </si>
  <si>
    <t>D 011</t>
  </si>
  <si>
    <t>lord pucci</t>
  </si>
  <si>
    <t>CARFI</t>
  </si>
  <si>
    <t>tustrunz</t>
  </si>
  <si>
    <t>TRAITO TNT</t>
  </si>
  <si>
    <t>gh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</si>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</sst>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0" xfId="0" applyNumberFormat="1"/>
    <xf numFmtId="49" fontId="2" fillId="0" borderId="4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0" fillId="0" borderId="0" xfId="0" applyNumberFormat="1"/>
  </cellXfs>
  <cellStyles count="1">
    <cellStyle name="Normale" xfId="0" builtinId="0"/>
  </cellStyles>
  <dxfs count="67">
    <dxf>
      <numFmt numFmtId="30" formatCode="@"/>
      <fill>
        <patternFill>
          <fgColor indexed="64"/>
          <bgColor auto="1"/>
        </patternFill>
      </fill>
    </dxf>
    <dxf>
      <numFmt numFmtId="30" formatCode="@"/>
      <fill>
        <patternFill>
          <fgColor indexed="64"/>
          <bgColor auto="1"/>
        </patternFill>
      </fill>
      <alignment horizontal="center" vertical="center"/>
    </dxf>
    <dxf>
      <numFmt numFmtId="30" formatCode="@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/>
        <right style="medium">
          <color indexed="64"/>
        </right>
      </border>
    </dxf>
    <dxf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/>
      </border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AA51" totalsRowShown="0" headerRowDxfId="0" dataDxfId="66" tableBorderDxfId="65">
  <autoFilter ref="A1:AA51" xr:uid="{00000000-0009-0000-0100-000001000000}"/>
  <sortState xmlns:xlrd2="http://schemas.microsoft.com/office/spreadsheetml/2017/richdata2" ref="A2:AA51">
    <sortCondition ref="A1:A51"/>
  </sortState>
  <tableColumns count="27">
    <tableColumn id="1" xr3:uid="{00000000-0010-0000-0000-000001000000}" name="NOME" dataDxfId="64"/>
    <tableColumn id="2" xr3:uid="{00000000-0010-0000-0000-000002000000}" name="DATA" dataDxfId="63"/>
    <tableColumn id="3" xr3:uid="{00000000-0010-0000-0000-000003000000}" name="MEDIA" dataDxfId="62"/>
    <tableColumn id="4" xr3:uid="{00000000-0010-0000-0000-000004000000}" name="TOTALE" dataDxfId="61"/>
    <tableColumn id="5" xr3:uid="{00000000-0010-0000-0000-000005000000}" name="ACHIEVMENT" dataDxfId="60"/>
    <tableColumn id="27" xr3:uid="{00000000-0010-0000-0000-00001B000000}" name="22/10/2025" dataDxfId="59"/>
    <tableColumn id="6" xr3:uid="{00000000-0010-0000-0000-000006000000}" name="22/11/2025" dataDxfId="58"/>
    <tableColumn id="7" xr3:uid="{00000000-0010-0000-0000-000007000000}" name="22/12/2025" dataDxfId="57"/>
    <tableColumn id="8" xr3:uid="{00000000-0010-0000-0000-000008000000}" name="22/01/2026" dataDxfId="56"/>
    <tableColumn id="9" xr3:uid="{00000000-0010-0000-0000-000009000000}" name="22/02/2026" dataDxfId="55"/>
    <tableColumn id="10" xr3:uid="{00000000-0010-0000-0000-00000A000000}" name="22/03/2026" dataDxfId="54"/>
    <tableColumn id="11" xr3:uid="{00000000-0010-0000-0000-00000B000000}" name="22/04/2024" dataDxfId="53"/>
    <tableColumn id="12" xr3:uid="{00000000-0010-0000-0000-00000C000000}" name="22/05/2026" dataDxfId="52"/>
    <tableColumn id="13" xr3:uid="{00000000-0010-0000-0000-00000D000000}" name="22/06/2026" dataDxfId="51"/>
    <tableColumn id="14" xr3:uid="{00000000-0010-0000-0000-00000E000000}" name="22/07/2026" dataDxfId="50"/>
    <tableColumn id="15" xr3:uid="{00000000-0010-0000-0000-00000F000000}" name="Colonna10" dataDxfId="49"/>
    <tableColumn id="16" xr3:uid="{00000000-0010-0000-0000-000010000000}" name="Colonna11" dataDxfId="48"/>
    <tableColumn id="17" xr3:uid="{00000000-0010-0000-0000-000011000000}" name="Colonna12" dataDxfId="47"/>
    <tableColumn id="18" xr3:uid="{00000000-0010-0000-0000-000012000000}" name="Colonna13" dataDxfId="46"/>
    <tableColumn id="19" xr3:uid="{00000000-0010-0000-0000-000013000000}" name="Colonna14" dataDxfId="45"/>
    <tableColumn id="20" xr3:uid="{00000000-0010-0000-0000-000014000000}" name="Colonna15" dataDxfId="44"/>
    <tableColumn id="21" xr3:uid="{00000000-0010-0000-0000-000015000000}" name="Colonna16" dataDxfId="43"/>
    <tableColumn id="22" xr3:uid="{00000000-0010-0000-0000-000016000000}" name="Colonna17" dataDxfId="42"/>
    <tableColumn id="23" xr3:uid="{00000000-0010-0000-0000-000017000000}" name="Colonna18" dataDxfId="41"/>
    <tableColumn id="24" xr3:uid="{00000000-0010-0000-0000-000018000000}" name="Colonna19" dataDxfId="40"/>
    <tableColumn id="25" xr3:uid="{00000000-0010-0000-0000-000019000000}" name="Colonna20" dataDxfId="39"/>
    <tableColumn id="26" xr3:uid="{00000000-0010-0000-0000-00001A000000}" name="Colonna21" dataDxfId="38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1" displayName="Tabella1" ref="A1:AH51" totalsRowShown="0" headerRowDxfId="1" dataDxfId="5">
  <autoFilter ref="A1:AH51" xr:uid="{00000000-0009-0000-0100-000002000000}"/>
  <sortState xmlns:xlrd2="http://schemas.microsoft.com/office/spreadsheetml/2017/richdata2" ref="A2:AH51">
    <sortCondition ref="A1:A51"/>
  </sortState>
  <tableColumns count="34">
    <tableColumn id="1" xr3:uid="{00000000-0010-0000-0100-000001000000}" name="NOME" dataDxfId="4"/>
    <tableColumn id="2" xr3:uid="{00000000-0010-0000-0100-000002000000}" name="DATA" dataDxfId="2"/>
    <tableColumn id="3" xr3:uid="{00000000-0010-0000-0100-000003000000}" name="MEDIA" dataDxfId="3"/>
    <tableColumn id="4" xr3:uid="{00000000-0010-0000-0100-000004000000}" name="23/11/2025" dataDxfId="36"/>
    <tableColumn id="5" xr3:uid="{00000000-0010-0000-0100-000005000000}" name="30/11/2025" dataDxfId="35"/>
    <tableColumn id="6" xr3:uid="{00000000-0010-0000-0100-000006000000}" name="07/12/2025" dataDxfId="34"/>
    <tableColumn id="7" xr3:uid="{00000000-0010-0000-0100-000007000000}" name="14/12/2025" dataDxfId="33"/>
    <tableColumn id="8" xr3:uid="{00000000-0010-0000-0100-000008000000}" name="19/12/2025" dataDxfId="32"/>
    <tableColumn id="9" xr3:uid="{00000000-0010-0000-0100-000009000000}" name="26/12/2025" dataDxfId="31"/>
    <tableColumn id="10" xr3:uid="{00000000-0010-0000-0100-00000A000000}" name="Colonna5" dataDxfId="30"/>
    <tableColumn id="14" xr3:uid="{00000000-0010-0000-0100-00000E000000}" name="Colonna9" dataDxfId="29"/>
    <tableColumn id="15" xr3:uid="{00000000-0010-0000-0100-00000F000000}" name="Colonna10" dataDxfId="28"/>
    <tableColumn id="16" xr3:uid="{00000000-0010-0000-0100-000010000000}" name="Colonna11" dataDxfId="27"/>
    <tableColumn id="17" xr3:uid="{00000000-0010-0000-0100-000011000000}" name="Colonna12" dataDxfId="26"/>
    <tableColumn id="18" xr3:uid="{00000000-0010-0000-0100-000012000000}" name="Colonna13" dataDxfId="25"/>
    <tableColumn id="19" xr3:uid="{00000000-0010-0000-0100-000013000000}" name="Colonna14" dataDxfId="24"/>
    <tableColumn id="20" xr3:uid="{00000000-0010-0000-0100-000014000000}" name="Colonna15" dataDxfId="23"/>
    <tableColumn id="21" xr3:uid="{00000000-0010-0000-0100-000015000000}" name="Colonna16" dataDxfId="22"/>
    <tableColumn id="22" xr3:uid="{00000000-0010-0000-0100-000016000000}" name="Colonna17" dataDxfId="21"/>
    <tableColumn id="23" xr3:uid="{00000000-0010-0000-0100-000017000000}" name="Colonna18" dataDxfId="20"/>
    <tableColumn id="24" xr3:uid="{00000000-0010-0000-0100-000018000000}" name="Colonna19" dataDxfId="19"/>
    <tableColumn id="25" xr3:uid="{00000000-0010-0000-0100-000019000000}" name="Colonna20" dataDxfId="18"/>
    <tableColumn id="26" xr3:uid="{00000000-0010-0000-0100-00001A000000}" name="Colonna21" dataDxfId="17"/>
    <tableColumn id="27" xr3:uid="{00000000-0010-0000-0100-00001B000000}" name="Colonna22" dataDxfId="16"/>
    <tableColumn id="28" xr3:uid="{00000000-0010-0000-0100-00001C000000}" name="Colonna23" dataDxfId="15"/>
    <tableColumn id="29" xr3:uid="{00000000-0010-0000-0100-00001D000000}" name="Colonna24" dataDxfId="14"/>
    <tableColumn id="30" xr3:uid="{00000000-0010-0000-0100-00001E000000}" name="Colonna25" dataDxfId="13"/>
    <tableColumn id="31" xr3:uid="{00000000-0010-0000-0100-00001F000000}" name="Colonna26" dataDxfId="12"/>
    <tableColumn id="32" xr3:uid="{00000000-0010-0000-0100-000020000000}" name="Colonna27" dataDxfId="11"/>
    <tableColumn id="33" xr3:uid="{00000000-0010-0000-0100-000021000000}" name="Colonna28" dataDxfId="10"/>
    <tableColumn id="34" xr3:uid="{00000000-0010-0000-0100-000022000000}" name="Colonna29" dataDxfId="9"/>
    <tableColumn id="35" xr3:uid="{00000000-0010-0000-0100-000023000000}" name="Colonna30" dataDxfId="8"/>
    <tableColumn id="36" xr3:uid="{00000000-0010-0000-0100-000024000000}" name="Colonna31" dataDxfId="7"/>
    <tableColumn id="37" xr3:uid="{00000000-0010-0000-0100-000025000000}" name="Colonna32" dataDxfId="6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37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opLeftCell="A15" workbookViewId="0">
      <selection activeCell="J36" sqref="J36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s="18" customFormat="1" ht="15.75" customHeight="1" thickBot="1" x14ac:dyDescent="0.3">
      <c r="A1" s="14" t="s">
        <v>0</v>
      </c>
      <c r="B1" s="15" t="s">
        <v>1</v>
      </c>
      <c r="C1" s="16" t="s">
        <v>2</v>
      </c>
      <c r="D1" s="14" t="s">
        <v>3</v>
      </c>
      <c r="E1" s="17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s="18" t="s">
        <v>23</v>
      </c>
      <c r="Y1" s="18" t="s">
        <v>24</v>
      </c>
      <c r="Z1" s="18" t="s">
        <v>25</v>
      </c>
      <c r="AA1" s="18" t="s">
        <v>26</v>
      </c>
    </row>
    <row r="2" spans="1:27" x14ac:dyDescent="0.25">
      <c r="A2" s="3" t="s">
        <v>27</v>
      </c>
      <c r="B2" s="7" t="s">
        <v>28</v>
      </c>
      <c r="C2" s="2">
        <f t="shared" ref="C2:C46" si="0">ROUND(AVERAGE(F2:AB2), 0)</f>
        <v>3700</v>
      </c>
      <c r="D2" s="3">
        <f t="shared" ref="D2:D46" si="1">SUM(F2:AB2)</f>
        <v>7400</v>
      </c>
      <c r="E2" s="5">
        <v>7450</v>
      </c>
      <c r="F2" s="1"/>
      <c r="G2" s="1">
        <v>4000</v>
      </c>
      <c r="H2" s="1">
        <v>3400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7" x14ac:dyDescent="0.25">
      <c r="A3" s="3" t="s">
        <v>29</v>
      </c>
      <c r="B3" s="7" t="s">
        <v>30</v>
      </c>
      <c r="C3" s="2">
        <f t="shared" si="0"/>
        <v>200</v>
      </c>
      <c r="D3" s="3">
        <f t="shared" si="1"/>
        <v>200</v>
      </c>
      <c r="E3" s="5">
        <v>25300</v>
      </c>
      <c r="F3" s="1"/>
      <c r="G3" s="1"/>
      <c r="H3" s="1">
        <v>200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7" x14ac:dyDescent="0.25">
      <c r="A4" s="3" t="s">
        <v>31</v>
      </c>
      <c r="B4" s="7" t="s">
        <v>28</v>
      </c>
      <c r="C4" s="2">
        <f t="shared" si="0"/>
        <v>500</v>
      </c>
      <c r="D4" s="3">
        <f t="shared" si="1"/>
        <v>500</v>
      </c>
      <c r="E4" s="5">
        <v>13650</v>
      </c>
      <c r="F4" s="1"/>
      <c r="G4" s="1"/>
      <c r="H4" s="1">
        <v>500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7" x14ac:dyDescent="0.25">
      <c r="A5" s="3" t="s">
        <v>32</v>
      </c>
      <c r="B5" s="7" t="s">
        <v>28</v>
      </c>
      <c r="C5" s="2">
        <f t="shared" si="0"/>
        <v>5533</v>
      </c>
      <c r="D5" s="3">
        <f t="shared" si="1"/>
        <v>16600</v>
      </c>
      <c r="E5" s="5">
        <v>22600</v>
      </c>
      <c r="F5" s="1">
        <v>4000</v>
      </c>
      <c r="G5" s="1">
        <v>4000</v>
      </c>
      <c r="H5" s="1">
        <v>8600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7" x14ac:dyDescent="0.25">
      <c r="A6" s="3" t="s">
        <v>33</v>
      </c>
      <c r="B6" s="7" t="s">
        <v>28</v>
      </c>
      <c r="C6" s="2">
        <f t="shared" si="0"/>
        <v>4033</v>
      </c>
      <c r="D6" s="3">
        <f t="shared" si="1"/>
        <v>12100</v>
      </c>
      <c r="E6" s="5">
        <v>23100</v>
      </c>
      <c r="F6" s="1">
        <v>4000</v>
      </c>
      <c r="G6" s="1">
        <v>4000</v>
      </c>
      <c r="H6" s="1">
        <v>4100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x14ac:dyDescent="0.25">
      <c r="A7" s="3" t="s">
        <v>34</v>
      </c>
      <c r="B7" s="7" t="s">
        <v>28</v>
      </c>
      <c r="C7" s="2">
        <f t="shared" si="0"/>
        <v>0</v>
      </c>
      <c r="D7" s="3">
        <f t="shared" si="1"/>
        <v>0</v>
      </c>
      <c r="E7" s="5">
        <v>12250</v>
      </c>
      <c r="F7" s="1"/>
      <c r="G7" s="1">
        <v>0</v>
      </c>
      <c r="H7" s="1"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7" x14ac:dyDescent="0.25">
      <c r="A8" s="3" t="s">
        <v>35</v>
      </c>
      <c r="B8" s="7" t="s">
        <v>28</v>
      </c>
      <c r="C8" s="2">
        <f t="shared" si="0"/>
        <v>2667</v>
      </c>
      <c r="D8" s="3">
        <f t="shared" si="1"/>
        <v>8000</v>
      </c>
      <c r="E8" s="5">
        <v>20250</v>
      </c>
      <c r="F8" s="1">
        <v>4000</v>
      </c>
      <c r="G8" s="1">
        <v>4000</v>
      </c>
      <c r="H8" s="1"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7" x14ac:dyDescent="0.25">
      <c r="A9" s="3" t="s">
        <v>36</v>
      </c>
      <c r="B9" s="7" t="s">
        <v>37</v>
      </c>
      <c r="C9" s="2">
        <f t="shared" si="0"/>
        <v>0</v>
      </c>
      <c r="D9" s="3">
        <f t="shared" si="1"/>
        <v>0</v>
      </c>
      <c r="E9" s="5">
        <v>5985</v>
      </c>
      <c r="F9" s="1"/>
      <c r="G9" s="1"/>
      <c r="H9" s="1"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7" x14ac:dyDescent="0.25">
      <c r="A10" s="3" t="s">
        <v>38</v>
      </c>
      <c r="B10" s="7" t="s">
        <v>28</v>
      </c>
      <c r="C10" s="2">
        <f t="shared" si="0"/>
        <v>1200</v>
      </c>
      <c r="D10" s="3">
        <f t="shared" si="1"/>
        <v>1200</v>
      </c>
      <c r="E10" s="5">
        <v>36850</v>
      </c>
      <c r="F10" s="1"/>
      <c r="G10" s="1"/>
      <c r="H10" s="1">
        <v>1200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7" x14ac:dyDescent="0.25">
      <c r="A11" s="3" t="s">
        <v>39</v>
      </c>
      <c r="B11" s="7" t="s">
        <v>28</v>
      </c>
      <c r="C11" s="2">
        <f t="shared" si="0"/>
        <v>1383</v>
      </c>
      <c r="D11" s="3">
        <f t="shared" si="1"/>
        <v>4150</v>
      </c>
      <c r="E11" s="5">
        <v>16600</v>
      </c>
      <c r="F11" s="1">
        <v>4000</v>
      </c>
      <c r="G11" s="1">
        <v>0</v>
      </c>
      <c r="H11" s="1">
        <v>150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7" x14ac:dyDescent="0.25">
      <c r="A12" s="3" t="s">
        <v>40</v>
      </c>
      <c r="B12" s="7" t="s">
        <v>28</v>
      </c>
      <c r="C12" s="2">
        <f t="shared" si="0"/>
        <v>0</v>
      </c>
      <c r="D12" s="3">
        <f t="shared" si="1"/>
        <v>0</v>
      </c>
      <c r="E12" s="5">
        <v>21800</v>
      </c>
      <c r="F12" s="1"/>
      <c r="G12" s="1"/>
      <c r="H12" s="1"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7" x14ac:dyDescent="0.25">
      <c r="A13" s="3" t="s">
        <v>41</v>
      </c>
      <c r="B13" s="7" t="s">
        <v>28</v>
      </c>
      <c r="C13" s="2">
        <f t="shared" si="0"/>
        <v>1300</v>
      </c>
      <c r="D13" s="3">
        <f t="shared" si="1"/>
        <v>1300</v>
      </c>
      <c r="E13" s="5">
        <v>66250</v>
      </c>
      <c r="F13" s="1"/>
      <c r="G13" s="1"/>
      <c r="H13" s="1">
        <v>1300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x14ac:dyDescent="0.25">
      <c r="A14" s="3" t="s">
        <v>42</v>
      </c>
      <c r="B14" s="7" t="s">
        <v>37</v>
      </c>
      <c r="C14" s="2">
        <f t="shared" si="0"/>
        <v>0</v>
      </c>
      <c r="D14" s="3">
        <f t="shared" si="1"/>
        <v>0</v>
      </c>
      <c r="E14" s="5">
        <v>2310</v>
      </c>
      <c r="F14" s="1"/>
      <c r="G14" s="1"/>
      <c r="H14" s="1"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x14ac:dyDescent="0.25">
      <c r="A15" s="3" t="s">
        <v>43</v>
      </c>
      <c r="B15" s="7" t="s">
        <v>37</v>
      </c>
      <c r="C15" s="2">
        <f t="shared" si="0"/>
        <v>0</v>
      </c>
      <c r="D15" s="3">
        <f t="shared" si="1"/>
        <v>0</v>
      </c>
      <c r="E15" s="5">
        <v>48600</v>
      </c>
      <c r="F15" s="1"/>
      <c r="G15" s="1"/>
      <c r="H15" s="1"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x14ac:dyDescent="0.25">
      <c r="A16" s="3" t="s">
        <v>44</v>
      </c>
      <c r="B16" s="7" t="s">
        <v>28</v>
      </c>
      <c r="C16" s="2">
        <f t="shared" si="0"/>
        <v>6000</v>
      </c>
      <c r="D16" s="3">
        <f t="shared" si="1"/>
        <v>18000</v>
      </c>
      <c r="E16" s="5">
        <v>27200</v>
      </c>
      <c r="F16" s="1">
        <v>4000</v>
      </c>
      <c r="G16" s="1">
        <v>4000</v>
      </c>
      <c r="H16" s="1">
        <v>10000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3" t="s">
        <v>45</v>
      </c>
      <c r="B17" s="7" t="s">
        <v>28</v>
      </c>
      <c r="C17" s="2">
        <f t="shared" si="0"/>
        <v>3025</v>
      </c>
      <c r="D17" s="3">
        <f t="shared" si="1"/>
        <v>6050</v>
      </c>
      <c r="E17" s="5">
        <v>7750</v>
      </c>
      <c r="F17" s="1"/>
      <c r="G17" s="1">
        <v>0</v>
      </c>
      <c r="H17" s="1">
        <v>6050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3" t="s">
        <v>46</v>
      </c>
      <c r="B18" s="7" t="s">
        <v>47</v>
      </c>
      <c r="C18" s="2">
        <f t="shared" si="0"/>
        <v>0</v>
      </c>
      <c r="D18" s="3">
        <f t="shared" si="1"/>
        <v>0</v>
      </c>
      <c r="E18" s="5">
        <v>20950</v>
      </c>
      <c r="F18" s="1"/>
      <c r="G18" s="1"/>
      <c r="H18" s="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3" t="s">
        <v>48</v>
      </c>
      <c r="B19" s="7" t="s">
        <v>49</v>
      </c>
      <c r="C19" s="2">
        <f t="shared" si="0"/>
        <v>4050</v>
      </c>
      <c r="D19" s="3">
        <f t="shared" si="1"/>
        <v>4050</v>
      </c>
      <c r="E19" s="5">
        <v>115700</v>
      </c>
      <c r="F19" s="1"/>
      <c r="G19" s="1"/>
      <c r="H19" s="1">
        <v>4050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3" t="s">
        <v>50</v>
      </c>
      <c r="B20" s="7" t="s">
        <v>28</v>
      </c>
      <c r="C20" s="2">
        <f t="shared" si="0"/>
        <v>1917</v>
      </c>
      <c r="D20" s="3">
        <f t="shared" si="1"/>
        <v>5750</v>
      </c>
      <c r="E20" s="5">
        <v>20850</v>
      </c>
      <c r="F20" s="1">
        <v>1500</v>
      </c>
      <c r="G20" s="1">
        <v>2450</v>
      </c>
      <c r="H20" s="1">
        <v>1800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5">
      <c r="A21" s="3" t="s">
        <v>51</v>
      </c>
      <c r="B21" s="7" t="s">
        <v>37</v>
      </c>
      <c r="C21" s="2">
        <f t="shared" si="0"/>
        <v>10000</v>
      </c>
      <c r="D21" s="3">
        <f t="shared" si="1"/>
        <v>10000</v>
      </c>
      <c r="E21" s="5">
        <v>82600</v>
      </c>
      <c r="F21" s="1"/>
      <c r="G21" s="1"/>
      <c r="H21" s="1">
        <v>10000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5">
      <c r="A22" s="3" t="s">
        <v>52</v>
      </c>
      <c r="B22" s="7" t="s">
        <v>28</v>
      </c>
      <c r="C22" s="2">
        <f t="shared" si="0"/>
        <v>6000</v>
      </c>
      <c r="D22" s="3">
        <f t="shared" si="1"/>
        <v>18000</v>
      </c>
      <c r="E22" s="5">
        <v>26450</v>
      </c>
      <c r="F22" s="1">
        <v>4000</v>
      </c>
      <c r="G22" s="1">
        <v>4000</v>
      </c>
      <c r="H22" s="1">
        <v>10000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5">
      <c r="A23" s="3" t="s">
        <v>53</v>
      </c>
      <c r="B23" s="7" t="s">
        <v>28</v>
      </c>
      <c r="C23" s="2">
        <f t="shared" si="0"/>
        <v>7000</v>
      </c>
      <c r="D23" s="3">
        <f t="shared" si="1"/>
        <v>14000</v>
      </c>
      <c r="E23" s="5">
        <v>23500</v>
      </c>
      <c r="F23" s="1"/>
      <c r="G23" s="1">
        <v>4000</v>
      </c>
      <c r="H23" s="1">
        <v>10000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5">
      <c r="A24" s="3" t="s">
        <v>54</v>
      </c>
      <c r="B24" s="7" t="s">
        <v>28</v>
      </c>
      <c r="C24" s="2">
        <f t="shared" si="0"/>
        <v>7000</v>
      </c>
      <c r="D24" s="3">
        <f t="shared" si="1"/>
        <v>14000</v>
      </c>
      <c r="E24" s="5">
        <v>35100</v>
      </c>
      <c r="F24" s="1"/>
      <c r="G24" s="1">
        <v>4000</v>
      </c>
      <c r="H24" s="1">
        <v>10000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5">
      <c r="A25" s="3" t="s">
        <v>55</v>
      </c>
      <c r="B25" s="7" t="s">
        <v>28</v>
      </c>
      <c r="C25" s="2">
        <f t="shared" si="0"/>
        <v>10000</v>
      </c>
      <c r="D25" s="3">
        <f t="shared" si="1"/>
        <v>10000</v>
      </c>
      <c r="E25" s="5">
        <v>34900</v>
      </c>
      <c r="F25" s="1"/>
      <c r="G25" s="1"/>
      <c r="H25" s="1">
        <v>10000</v>
      </c>
      <c r="I25" s="1"/>
      <c r="J25" s="1"/>
      <c r="K25" s="1"/>
      <c r="L25" s="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25">
      <c r="A26" s="3" t="s">
        <v>56</v>
      </c>
      <c r="B26" s="7" t="s">
        <v>28</v>
      </c>
      <c r="C26" s="2">
        <f t="shared" si="0"/>
        <v>333</v>
      </c>
      <c r="D26" s="3">
        <f t="shared" si="1"/>
        <v>1000</v>
      </c>
      <c r="E26" s="5">
        <v>5025</v>
      </c>
      <c r="F26" s="1">
        <v>1000</v>
      </c>
      <c r="G26" s="1">
        <v>0</v>
      </c>
      <c r="H26" s="1"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5">
      <c r="A27" s="3" t="s">
        <v>57</v>
      </c>
      <c r="B27" s="7" t="s">
        <v>28</v>
      </c>
      <c r="C27" s="2">
        <f t="shared" si="0"/>
        <v>3967</v>
      </c>
      <c r="D27" s="3">
        <f t="shared" si="1"/>
        <v>11900</v>
      </c>
      <c r="E27" s="5">
        <v>24650</v>
      </c>
      <c r="F27" s="1">
        <v>4000</v>
      </c>
      <c r="G27" s="1">
        <v>2100</v>
      </c>
      <c r="H27" s="1">
        <v>5800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5">
      <c r="A28" s="3" t="s">
        <v>58</v>
      </c>
      <c r="B28" s="7" t="s">
        <v>28</v>
      </c>
      <c r="C28" s="2">
        <f t="shared" si="0"/>
        <v>0</v>
      </c>
      <c r="D28" s="3">
        <f t="shared" si="1"/>
        <v>0</v>
      </c>
      <c r="E28" s="5">
        <v>70660</v>
      </c>
      <c r="F28" s="1"/>
      <c r="G28" s="1"/>
      <c r="H28" s="1"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5">
      <c r="A29" s="3" t="s">
        <v>59</v>
      </c>
      <c r="B29" s="7" t="s">
        <v>30</v>
      </c>
      <c r="C29" s="2">
        <f t="shared" si="0"/>
        <v>600</v>
      </c>
      <c r="D29" s="3">
        <f t="shared" si="1"/>
        <v>600</v>
      </c>
      <c r="E29" s="5">
        <v>35320</v>
      </c>
      <c r="F29" s="1"/>
      <c r="G29" s="1"/>
      <c r="H29" s="1">
        <v>600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5">
      <c r="A30" s="3" t="s">
        <v>60</v>
      </c>
      <c r="B30" s="7" t="s">
        <v>37</v>
      </c>
      <c r="C30" s="2">
        <f t="shared" si="0"/>
        <v>0</v>
      </c>
      <c r="D30" s="3">
        <f t="shared" si="1"/>
        <v>0</v>
      </c>
      <c r="E30" s="5">
        <v>40350</v>
      </c>
      <c r="F30" s="1"/>
      <c r="G30" s="1"/>
      <c r="H30" s="1"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5">
      <c r="A31" s="3" t="s">
        <v>61</v>
      </c>
      <c r="B31" s="7" t="s">
        <v>28</v>
      </c>
      <c r="C31" s="2">
        <f t="shared" si="0"/>
        <v>10000</v>
      </c>
      <c r="D31" s="3">
        <f t="shared" si="1"/>
        <v>10000</v>
      </c>
      <c r="E31" s="5">
        <v>38650</v>
      </c>
      <c r="F31" s="1"/>
      <c r="G31" s="1"/>
      <c r="H31" s="1">
        <v>10000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5">
      <c r="A32" s="3" t="s">
        <v>62</v>
      </c>
      <c r="B32" s="7" t="s">
        <v>28</v>
      </c>
      <c r="C32" s="2">
        <f t="shared" si="0"/>
        <v>10000</v>
      </c>
      <c r="D32" s="3">
        <f t="shared" si="1"/>
        <v>10000</v>
      </c>
      <c r="E32" s="5">
        <v>30700</v>
      </c>
      <c r="F32" s="1"/>
      <c r="G32" s="1"/>
      <c r="H32" s="1">
        <v>10000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5">
      <c r="A33" s="3" t="s">
        <v>63</v>
      </c>
      <c r="B33" s="7" t="s">
        <v>37</v>
      </c>
      <c r="C33" s="2">
        <f t="shared" si="0"/>
        <v>1650</v>
      </c>
      <c r="D33" s="3">
        <f t="shared" si="1"/>
        <v>1650</v>
      </c>
      <c r="E33" s="5">
        <v>66075</v>
      </c>
      <c r="F33" s="1"/>
      <c r="G33" s="1"/>
      <c r="H33" s="1">
        <v>1650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5">
      <c r="A34" s="3" t="s">
        <v>64</v>
      </c>
      <c r="B34" s="7" t="s">
        <v>7</v>
      </c>
      <c r="C34" s="2">
        <f t="shared" si="0"/>
        <v>6550</v>
      </c>
      <c r="D34" s="3">
        <f t="shared" si="1"/>
        <v>6550</v>
      </c>
      <c r="E34" s="5">
        <v>50000</v>
      </c>
      <c r="F34" s="1"/>
      <c r="G34" s="1"/>
      <c r="H34" s="1">
        <v>6550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5">
      <c r="A35" s="3" t="s">
        <v>65</v>
      </c>
      <c r="B35" s="7" t="s">
        <v>28</v>
      </c>
      <c r="C35" s="2">
        <f t="shared" si="0"/>
        <v>4017</v>
      </c>
      <c r="D35" s="3">
        <f t="shared" si="1"/>
        <v>12050</v>
      </c>
      <c r="E35" s="5">
        <v>33000</v>
      </c>
      <c r="F35" s="1">
        <v>4000</v>
      </c>
      <c r="G35" s="1">
        <v>4000</v>
      </c>
      <c r="H35" s="1">
        <v>4050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5">
      <c r="A36" s="3" t="s">
        <v>66</v>
      </c>
      <c r="B36" s="7" t="s">
        <v>28</v>
      </c>
      <c r="C36" s="2">
        <f t="shared" si="0"/>
        <v>4575</v>
      </c>
      <c r="D36" s="3">
        <f t="shared" si="1"/>
        <v>9150</v>
      </c>
      <c r="E36" s="5">
        <v>15430</v>
      </c>
      <c r="F36" s="1"/>
      <c r="G36" s="1">
        <v>4000</v>
      </c>
      <c r="H36" s="1">
        <v>5150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5">
      <c r="A37" s="3" t="s">
        <v>67</v>
      </c>
      <c r="B37" s="7" t="s">
        <v>28</v>
      </c>
      <c r="C37" s="2">
        <f t="shared" si="0"/>
        <v>6000</v>
      </c>
      <c r="D37" s="3">
        <f t="shared" si="1"/>
        <v>18000</v>
      </c>
      <c r="E37" s="5">
        <v>38400</v>
      </c>
      <c r="F37" s="1">
        <v>4000</v>
      </c>
      <c r="G37" s="1">
        <v>4000</v>
      </c>
      <c r="H37" s="1">
        <v>10000</v>
      </c>
      <c r="I37" s="1"/>
      <c r="J37" s="1"/>
      <c r="K37" s="1"/>
      <c r="L37" s="1"/>
      <c r="M37" s="1"/>
      <c r="N37" s="1"/>
      <c r="O37" s="1"/>
      <c r="P37" s="6"/>
      <c r="Q37" s="1"/>
      <c r="R37" s="1"/>
      <c r="S37" s="1"/>
      <c r="T37" s="1"/>
      <c r="U37" s="1"/>
      <c r="V37" s="1"/>
      <c r="W37" s="1"/>
    </row>
    <row r="38" spans="1:23" x14ac:dyDescent="0.25">
      <c r="A38" s="3" t="s">
        <v>68</v>
      </c>
      <c r="B38" s="7" t="s">
        <v>28</v>
      </c>
      <c r="C38" s="2">
        <f t="shared" si="0"/>
        <v>2150</v>
      </c>
      <c r="D38" s="3">
        <f t="shared" si="1"/>
        <v>4300</v>
      </c>
      <c r="E38" s="5">
        <v>5750</v>
      </c>
      <c r="F38" s="1"/>
      <c r="G38" s="1">
        <v>4000</v>
      </c>
      <c r="H38" s="1">
        <v>300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5">
      <c r="A39" s="3" t="s">
        <v>69</v>
      </c>
      <c r="B39" s="7" t="s">
        <v>28</v>
      </c>
      <c r="C39" s="2">
        <f t="shared" si="0"/>
        <v>7000</v>
      </c>
      <c r="D39" s="3">
        <f t="shared" si="1"/>
        <v>14000</v>
      </c>
      <c r="E39" s="5">
        <v>18700</v>
      </c>
      <c r="F39" s="1"/>
      <c r="G39" s="1">
        <v>4000</v>
      </c>
      <c r="H39" s="1">
        <v>10000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5">
      <c r="A40" s="3" t="s">
        <v>70</v>
      </c>
      <c r="B40" s="7" t="s">
        <v>28</v>
      </c>
      <c r="C40" s="2">
        <f t="shared" si="0"/>
        <v>1100</v>
      </c>
      <c r="D40" s="3">
        <f t="shared" si="1"/>
        <v>2200</v>
      </c>
      <c r="E40" s="5">
        <v>21000</v>
      </c>
      <c r="F40" s="1"/>
      <c r="G40" s="1">
        <v>250</v>
      </c>
      <c r="H40" s="1">
        <v>1950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5">
      <c r="A41" s="3" t="s">
        <v>71</v>
      </c>
      <c r="B41" s="7" t="s">
        <v>28</v>
      </c>
      <c r="C41" s="2">
        <f t="shared" si="0"/>
        <v>4017</v>
      </c>
      <c r="D41" s="3">
        <f t="shared" si="1"/>
        <v>12050</v>
      </c>
      <c r="E41" s="5">
        <v>24175</v>
      </c>
      <c r="F41" s="1">
        <v>4000</v>
      </c>
      <c r="G41" s="1">
        <v>4000</v>
      </c>
      <c r="H41" s="1">
        <v>4050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5">
      <c r="A42" s="3" t="s">
        <v>72</v>
      </c>
      <c r="B42" s="7" t="s">
        <v>28</v>
      </c>
      <c r="C42" s="2">
        <f t="shared" si="0"/>
        <v>3650</v>
      </c>
      <c r="D42" s="3">
        <f t="shared" si="1"/>
        <v>3650</v>
      </c>
      <c r="E42" s="5">
        <v>21075</v>
      </c>
      <c r="F42" s="1"/>
      <c r="G42" s="1"/>
      <c r="H42" s="1">
        <v>3650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5">
      <c r="A43" s="3" t="s">
        <v>73</v>
      </c>
      <c r="B43" s="7" t="s">
        <v>28</v>
      </c>
      <c r="C43" s="2">
        <f t="shared" si="0"/>
        <v>4583</v>
      </c>
      <c r="D43" s="3">
        <f t="shared" si="1"/>
        <v>13750</v>
      </c>
      <c r="E43" s="5">
        <v>24950</v>
      </c>
      <c r="F43" s="1">
        <v>4000</v>
      </c>
      <c r="G43" s="1">
        <v>4000</v>
      </c>
      <c r="H43" s="1">
        <v>5750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5">
      <c r="A44" s="3" t="s">
        <v>74</v>
      </c>
      <c r="B44" s="7" t="s">
        <v>28</v>
      </c>
      <c r="C44" s="2">
        <f t="shared" si="0"/>
        <v>150</v>
      </c>
      <c r="D44" s="3">
        <f t="shared" si="1"/>
        <v>150</v>
      </c>
      <c r="E44" s="5">
        <v>25050</v>
      </c>
      <c r="F44" s="1"/>
      <c r="G44" s="1"/>
      <c r="H44" s="1">
        <v>150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5">
      <c r="A45" s="3" t="s">
        <v>75</v>
      </c>
      <c r="B45" s="7" t="s">
        <v>28</v>
      </c>
      <c r="C45" s="2">
        <f t="shared" si="0"/>
        <v>3850</v>
      </c>
      <c r="D45" s="3">
        <f t="shared" si="1"/>
        <v>3850</v>
      </c>
      <c r="E45" s="5">
        <v>99120</v>
      </c>
      <c r="F45" s="1"/>
      <c r="G45" s="1"/>
      <c r="H45" s="1">
        <v>3850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5">
      <c r="A46" s="3" t="s">
        <v>76</v>
      </c>
      <c r="B46" s="7" t="s">
        <v>28</v>
      </c>
      <c r="C46" s="2">
        <f t="shared" si="0"/>
        <v>600</v>
      </c>
      <c r="D46" s="3">
        <f t="shared" si="1"/>
        <v>1200</v>
      </c>
      <c r="E46" s="5">
        <v>7700</v>
      </c>
      <c r="F46" s="1"/>
      <c r="G46" s="1">
        <v>0</v>
      </c>
      <c r="H46" s="1">
        <v>1200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51" ht="15.75" customHeight="1" x14ac:dyDescent="0.25"/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1"/>
  <sheetViews>
    <sheetView topLeftCell="A17" workbookViewId="0">
      <selection activeCell="B53" sqref="B53"/>
    </sheetView>
  </sheetViews>
  <sheetFormatPr defaultRowHeight="15" x14ac:dyDescent="0.25"/>
  <cols>
    <col min="1" max="1" width="16" style="9" customWidth="1"/>
    <col min="2" max="2" width="13.85546875" style="12" customWidth="1"/>
    <col min="3" max="3" width="10.7109375" style="9" customWidth="1"/>
    <col min="4" max="5" width="11.7109375" style="8" customWidth="1"/>
    <col min="6" max="6" width="10.140625" style="8" customWidth="1"/>
    <col min="7" max="7" width="10.85546875" style="8" customWidth="1"/>
    <col min="8" max="11" width="11.5703125" style="8" customWidth="1"/>
    <col min="12" max="34" width="12.5703125" style="8" customWidth="1"/>
    <col min="35" max="44" width="9.140625" style="8" customWidth="1"/>
    <col min="45" max="16384" width="9.140625" style="8"/>
  </cols>
  <sheetData>
    <row r="1" spans="1:34" s="12" customFormat="1" ht="15.75" customHeight="1" thickBot="1" x14ac:dyDescent="0.3">
      <c r="A1" s="13" t="s">
        <v>0</v>
      </c>
      <c r="B1" s="11" t="s">
        <v>1</v>
      </c>
      <c r="C1" s="13" t="s">
        <v>2</v>
      </c>
      <c r="D1" s="11" t="s">
        <v>77</v>
      </c>
      <c r="E1" s="11" t="s">
        <v>78</v>
      </c>
      <c r="F1" s="11" t="s">
        <v>79</v>
      </c>
      <c r="G1" s="11" t="s">
        <v>80</v>
      </c>
      <c r="H1" s="11" t="s">
        <v>30</v>
      </c>
      <c r="I1" s="12" t="s">
        <v>47</v>
      </c>
      <c r="J1" s="12" t="s">
        <v>81</v>
      </c>
      <c r="K1" s="12" t="s">
        <v>82</v>
      </c>
      <c r="L1" s="12" t="s">
        <v>15</v>
      </c>
      <c r="M1" s="12" t="s">
        <v>16</v>
      </c>
      <c r="N1" s="12" t="s">
        <v>17</v>
      </c>
      <c r="O1" s="12" t="s">
        <v>18</v>
      </c>
      <c r="P1" s="12" t="s">
        <v>19</v>
      </c>
      <c r="Q1" s="12" t="s">
        <v>20</v>
      </c>
      <c r="R1" s="12" t="s">
        <v>21</v>
      </c>
      <c r="S1" s="12" t="s">
        <v>22</v>
      </c>
      <c r="T1" s="12" t="s">
        <v>23</v>
      </c>
      <c r="U1" s="12" t="s">
        <v>24</v>
      </c>
      <c r="V1" s="12" t="s">
        <v>25</v>
      </c>
      <c r="W1" s="12" t="s">
        <v>26</v>
      </c>
      <c r="X1" s="12" t="s">
        <v>83</v>
      </c>
      <c r="Y1" s="12" t="s">
        <v>84</v>
      </c>
      <c r="Z1" s="12" t="s">
        <v>85</v>
      </c>
      <c r="AA1" s="12" t="s">
        <v>86</v>
      </c>
      <c r="AB1" s="12" t="s">
        <v>87</v>
      </c>
      <c r="AC1" s="12" t="s">
        <v>88</v>
      </c>
      <c r="AD1" s="12" t="s">
        <v>89</v>
      </c>
      <c r="AE1" s="12" t="s">
        <v>90</v>
      </c>
      <c r="AF1" s="12" t="s">
        <v>91</v>
      </c>
      <c r="AG1" s="12" t="s">
        <v>92</v>
      </c>
      <c r="AH1" s="12" t="s">
        <v>93</v>
      </c>
    </row>
    <row r="2" spans="1:34" x14ac:dyDescent="0.25">
      <c r="A2" s="9" t="s">
        <v>94</v>
      </c>
      <c r="B2" s="12" t="s">
        <v>95</v>
      </c>
      <c r="C2" s="9">
        <f t="shared" ref="C2:C33" si="0">ROUND(AVERAGE(D2:AH2), 0)</f>
        <v>6</v>
      </c>
      <c r="J2" s="10">
        <v>6</v>
      </c>
    </row>
    <row r="3" spans="1:34" x14ac:dyDescent="0.25">
      <c r="A3" s="9" t="s">
        <v>27</v>
      </c>
      <c r="B3" s="12" t="s">
        <v>28</v>
      </c>
      <c r="C3" s="9">
        <f t="shared" si="0"/>
        <v>6</v>
      </c>
      <c r="D3" s="8">
        <v>6</v>
      </c>
      <c r="E3" s="8">
        <v>6</v>
      </c>
      <c r="F3" s="8">
        <v>6</v>
      </c>
      <c r="G3" s="8">
        <v>6</v>
      </c>
      <c r="H3" s="8">
        <v>6</v>
      </c>
      <c r="I3" s="8">
        <v>6</v>
      </c>
      <c r="J3" s="10">
        <v>6</v>
      </c>
    </row>
    <row r="4" spans="1:34" x14ac:dyDescent="0.25">
      <c r="A4" s="9" t="s">
        <v>96</v>
      </c>
      <c r="B4" s="12" t="s">
        <v>95</v>
      </c>
      <c r="C4" s="9">
        <f t="shared" si="0"/>
        <v>0</v>
      </c>
      <c r="J4" s="10">
        <v>0</v>
      </c>
    </row>
    <row r="5" spans="1:34" x14ac:dyDescent="0.25">
      <c r="A5" s="9" t="s">
        <v>97</v>
      </c>
      <c r="B5" s="12" t="s">
        <v>95</v>
      </c>
      <c r="C5" s="9">
        <f t="shared" si="0"/>
        <v>0</v>
      </c>
      <c r="J5" s="10">
        <v>0</v>
      </c>
    </row>
    <row r="6" spans="1:34" x14ac:dyDescent="0.25">
      <c r="A6" s="9" t="s">
        <v>31</v>
      </c>
      <c r="B6" s="12" t="s">
        <v>28</v>
      </c>
      <c r="C6" s="9">
        <f t="shared" si="0"/>
        <v>5</v>
      </c>
      <c r="G6" s="8">
        <v>0</v>
      </c>
      <c r="H6" s="8">
        <v>6</v>
      </c>
      <c r="I6" s="8">
        <v>6</v>
      </c>
      <c r="J6" s="10">
        <v>6</v>
      </c>
    </row>
    <row r="7" spans="1:34" x14ac:dyDescent="0.25">
      <c r="A7" s="9" t="s">
        <v>32</v>
      </c>
      <c r="B7" s="12" t="s">
        <v>28</v>
      </c>
      <c r="C7" s="9">
        <f t="shared" si="0"/>
        <v>3</v>
      </c>
      <c r="D7" s="8">
        <v>6</v>
      </c>
      <c r="E7" s="8">
        <v>0</v>
      </c>
      <c r="F7" s="8">
        <v>6</v>
      </c>
      <c r="G7" s="8">
        <v>6</v>
      </c>
      <c r="H7" s="8">
        <v>2</v>
      </c>
      <c r="I7" s="8">
        <v>1</v>
      </c>
      <c r="J7" s="10">
        <v>0</v>
      </c>
    </row>
    <row r="8" spans="1:34" x14ac:dyDescent="0.25">
      <c r="A8" s="9" t="s">
        <v>33</v>
      </c>
      <c r="B8" s="12" t="s">
        <v>28</v>
      </c>
      <c r="C8" s="9">
        <f t="shared" si="0"/>
        <v>5</v>
      </c>
      <c r="D8" s="8">
        <v>6</v>
      </c>
      <c r="E8" s="8">
        <v>6</v>
      </c>
      <c r="F8" s="8">
        <v>6</v>
      </c>
      <c r="G8" s="8">
        <v>6</v>
      </c>
      <c r="H8" s="8">
        <v>0</v>
      </c>
      <c r="I8" s="8">
        <v>6</v>
      </c>
      <c r="J8" s="10">
        <v>6</v>
      </c>
    </row>
    <row r="9" spans="1:34" x14ac:dyDescent="0.25">
      <c r="A9" s="9" t="s">
        <v>34</v>
      </c>
      <c r="B9" s="12" t="s">
        <v>28</v>
      </c>
      <c r="C9" s="9">
        <f t="shared" si="0"/>
        <v>3</v>
      </c>
      <c r="D9" s="8">
        <v>6</v>
      </c>
      <c r="E9" s="8">
        <v>6</v>
      </c>
      <c r="F9" s="8">
        <v>6</v>
      </c>
      <c r="G9" s="8">
        <v>6</v>
      </c>
      <c r="H9" s="8">
        <v>0</v>
      </c>
      <c r="I9" s="8">
        <v>0</v>
      </c>
      <c r="J9" s="10">
        <v>0</v>
      </c>
    </row>
    <row r="10" spans="1:34" x14ac:dyDescent="0.25">
      <c r="A10" s="9" t="s">
        <v>35</v>
      </c>
      <c r="B10" s="12" t="s">
        <v>28</v>
      </c>
      <c r="C10" s="9">
        <f t="shared" si="0"/>
        <v>2</v>
      </c>
      <c r="D10" s="8">
        <v>0</v>
      </c>
      <c r="E10" s="8">
        <v>0</v>
      </c>
      <c r="F10" s="8">
        <v>6</v>
      </c>
      <c r="G10" s="8">
        <v>0</v>
      </c>
      <c r="H10" s="8">
        <v>0</v>
      </c>
      <c r="I10" s="8">
        <v>6</v>
      </c>
      <c r="J10" s="10">
        <v>0</v>
      </c>
    </row>
    <row r="11" spans="1:34" x14ac:dyDescent="0.25">
      <c r="A11" s="9" t="s">
        <v>38</v>
      </c>
      <c r="B11" s="12" t="s">
        <v>28</v>
      </c>
      <c r="C11" s="9">
        <f t="shared" si="0"/>
        <v>6</v>
      </c>
      <c r="G11" s="8">
        <v>6</v>
      </c>
      <c r="H11" s="8">
        <v>6</v>
      </c>
      <c r="I11" s="8">
        <v>5</v>
      </c>
      <c r="J11" s="10">
        <v>6</v>
      </c>
    </row>
    <row r="12" spans="1:34" x14ac:dyDescent="0.25">
      <c r="A12" s="9" t="s">
        <v>40</v>
      </c>
      <c r="B12" s="12" t="s">
        <v>28</v>
      </c>
      <c r="C12" s="9">
        <f t="shared" si="0"/>
        <v>3</v>
      </c>
      <c r="G12" s="8">
        <v>0</v>
      </c>
      <c r="H12" s="8">
        <v>6</v>
      </c>
      <c r="I12" s="8">
        <v>6</v>
      </c>
      <c r="J12" s="10">
        <v>0</v>
      </c>
    </row>
    <row r="13" spans="1:34" x14ac:dyDescent="0.25">
      <c r="A13" s="9" t="s">
        <v>41</v>
      </c>
      <c r="B13" s="12" t="s">
        <v>28</v>
      </c>
      <c r="C13" s="9">
        <f t="shared" si="0"/>
        <v>5</v>
      </c>
      <c r="G13" s="8">
        <v>5</v>
      </c>
      <c r="H13" s="8">
        <v>5</v>
      </c>
      <c r="I13" s="8">
        <v>6</v>
      </c>
      <c r="J13" s="10">
        <v>2</v>
      </c>
    </row>
    <row r="14" spans="1:34" x14ac:dyDescent="0.25">
      <c r="A14" s="9" t="s">
        <v>98</v>
      </c>
      <c r="B14" s="12" t="s">
        <v>99</v>
      </c>
      <c r="C14" s="9">
        <f t="shared" si="0"/>
        <v>3</v>
      </c>
      <c r="I14" s="8">
        <v>6</v>
      </c>
      <c r="J14" s="10">
        <v>0</v>
      </c>
    </row>
    <row r="15" spans="1:34" x14ac:dyDescent="0.25">
      <c r="A15" s="9" t="s">
        <v>42</v>
      </c>
      <c r="B15" s="12" t="s">
        <v>99</v>
      </c>
      <c r="C15" s="9">
        <f t="shared" si="0"/>
        <v>0</v>
      </c>
      <c r="I15" s="8">
        <v>0</v>
      </c>
      <c r="J15" s="10">
        <v>0</v>
      </c>
    </row>
    <row r="16" spans="1:34" x14ac:dyDescent="0.25">
      <c r="A16" s="9" t="s">
        <v>44</v>
      </c>
      <c r="B16" s="12" t="s">
        <v>28</v>
      </c>
      <c r="C16" s="9">
        <f t="shared" si="0"/>
        <v>6</v>
      </c>
      <c r="D16" s="8">
        <v>6</v>
      </c>
      <c r="E16" s="8">
        <v>6</v>
      </c>
      <c r="F16" s="8">
        <v>6</v>
      </c>
      <c r="G16" s="8">
        <v>5</v>
      </c>
      <c r="H16" s="8">
        <v>6</v>
      </c>
      <c r="I16" s="8">
        <v>6</v>
      </c>
      <c r="J16" s="10">
        <v>6</v>
      </c>
    </row>
    <row r="17" spans="1:10" x14ac:dyDescent="0.25">
      <c r="A17" s="9" t="s">
        <v>100</v>
      </c>
      <c r="B17" s="12" t="s">
        <v>95</v>
      </c>
      <c r="C17" s="9">
        <f t="shared" si="0"/>
        <v>6</v>
      </c>
      <c r="J17" s="10">
        <v>6</v>
      </c>
    </row>
    <row r="18" spans="1:10" x14ac:dyDescent="0.25">
      <c r="A18" s="9" t="s">
        <v>45</v>
      </c>
      <c r="B18" s="12" t="s">
        <v>28</v>
      </c>
      <c r="C18" s="9">
        <f t="shared" si="0"/>
        <v>6</v>
      </c>
      <c r="D18" s="8">
        <v>6</v>
      </c>
      <c r="E18" s="8">
        <v>6</v>
      </c>
      <c r="F18" s="8">
        <v>6</v>
      </c>
      <c r="G18" s="8">
        <v>6</v>
      </c>
      <c r="H18" s="8">
        <v>6</v>
      </c>
      <c r="I18" s="8">
        <v>6</v>
      </c>
      <c r="J18" s="10">
        <v>6</v>
      </c>
    </row>
    <row r="19" spans="1:10" x14ac:dyDescent="0.25">
      <c r="A19" s="9" t="s">
        <v>46</v>
      </c>
      <c r="B19" s="12" t="s">
        <v>99</v>
      </c>
      <c r="C19" s="9">
        <f t="shared" si="0"/>
        <v>6</v>
      </c>
      <c r="I19" s="8">
        <v>6</v>
      </c>
      <c r="J19" s="10">
        <v>6</v>
      </c>
    </row>
    <row r="20" spans="1:10" x14ac:dyDescent="0.25">
      <c r="A20" s="9" t="s">
        <v>48</v>
      </c>
      <c r="B20" s="12" t="s">
        <v>49</v>
      </c>
      <c r="C20" s="9">
        <f t="shared" si="0"/>
        <v>6</v>
      </c>
      <c r="H20" s="8">
        <v>6</v>
      </c>
      <c r="I20" s="8">
        <v>6</v>
      </c>
      <c r="J20" s="10">
        <v>6</v>
      </c>
    </row>
    <row r="21" spans="1:10" x14ac:dyDescent="0.25">
      <c r="A21" s="9" t="s">
        <v>50</v>
      </c>
      <c r="B21" s="12" t="s">
        <v>28</v>
      </c>
      <c r="C21" s="9">
        <f t="shared" si="0"/>
        <v>6</v>
      </c>
      <c r="D21" s="8">
        <v>6</v>
      </c>
      <c r="E21" s="8">
        <v>6</v>
      </c>
      <c r="F21" s="8">
        <v>6</v>
      </c>
      <c r="G21" s="8">
        <v>6</v>
      </c>
      <c r="H21" s="8">
        <v>6</v>
      </c>
      <c r="I21" s="8">
        <v>6</v>
      </c>
      <c r="J21" s="10">
        <v>6</v>
      </c>
    </row>
    <row r="22" spans="1:10" x14ac:dyDescent="0.25">
      <c r="A22" s="9" t="s">
        <v>51</v>
      </c>
      <c r="B22" s="12" t="s">
        <v>99</v>
      </c>
      <c r="C22" s="9">
        <f t="shared" si="0"/>
        <v>6</v>
      </c>
      <c r="I22" s="8">
        <v>6</v>
      </c>
      <c r="J22" s="10">
        <v>6</v>
      </c>
    </row>
    <row r="23" spans="1:10" x14ac:dyDescent="0.25">
      <c r="A23" s="9" t="s">
        <v>52</v>
      </c>
      <c r="B23" s="12" t="s">
        <v>28</v>
      </c>
      <c r="C23" s="9">
        <f t="shared" si="0"/>
        <v>6</v>
      </c>
      <c r="D23" s="8">
        <v>6</v>
      </c>
      <c r="E23" s="8">
        <v>6</v>
      </c>
      <c r="F23" s="8">
        <v>6</v>
      </c>
      <c r="G23" s="8">
        <v>6</v>
      </c>
      <c r="H23" s="8">
        <v>6</v>
      </c>
      <c r="I23" s="8">
        <v>6</v>
      </c>
      <c r="J23" s="10">
        <v>6</v>
      </c>
    </row>
    <row r="24" spans="1:10" x14ac:dyDescent="0.25">
      <c r="A24" s="9" t="s">
        <v>53</v>
      </c>
      <c r="B24" s="12" t="s">
        <v>28</v>
      </c>
      <c r="C24" s="9">
        <f t="shared" si="0"/>
        <v>4</v>
      </c>
      <c r="D24" s="8">
        <v>6</v>
      </c>
      <c r="E24" s="8">
        <v>6</v>
      </c>
      <c r="F24" s="8">
        <v>6</v>
      </c>
      <c r="G24" s="8">
        <v>0</v>
      </c>
      <c r="H24" s="8">
        <v>0</v>
      </c>
      <c r="J24" s="10">
        <v>6</v>
      </c>
    </row>
    <row r="25" spans="1:10" x14ac:dyDescent="0.25">
      <c r="A25" s="9" t="s">
        <v>54</v>
      </c>
      <c r="B25" s="12" t="s">
        <v>28</v>
      </c>
      <c r="C25" s="9">
        <f t="shared" si="0"/>
        <v>6</v>
      </c>
      <c r="D25" s="8">
        <v>6</v>
      </c>
      <c r="E25" s="8">
        <v>6</v>
      </c>
      <c r="F25" s="8">
        <v>6</v>
      </c>
      <c r="G25" s="8">
        <v>6</v>
      </c>
      <c r="H25" s="8">
        <v>6</v>
      </c>
      <c r="I25" s="8">
        <v>6</v>
      </c>
      <c r="J25" s="10">
        <v>6</v>
      </c>
    </row>
    <row r="26" spans="1:10" x14ac:dyDescent="0.25">
      <c r="A26" s="9" t="s">
        <v>101</v>
      </c>
      <c r="B26" s="12" t="s">
        <v>95</v>
      </c>
      <c r="C26" s="9">
        <f t="shared" si="0"/>
        <v>0</v>
      </c>
      <c r="J26" s="10">
        <v>0</v>
      </c>
    </row>
    <row r="27" spans="1:10" x14ac:dyDescent="0.25">
      <c r="A27" s="9" t="s">
        <v>55</v>
      </c>
      <c r="B27" s="12" t="s">
        <v>28</v>
      </c>
      <c r="C27" s="9">
        <f t="shared" si="0"/>
        <v>5</v>
      </c>
      <c r="G27" s="8">
        <v>0</v>
      </c>
      <c r="H27" s="8">
        <v>6</v>
      </c>
      <c r="I27" s="8">
        <v>6</v>
      </c>
      <c r="J27" s="10">
        <v>6</v>
      </c>
    </row>
    <row r="28" spans="1:10" x14ac:dyDescent="0.25">
      <c r="A28" s="9" t="s">
        <v>56</v>
      </c>
      <c r="B28" s="12" t="s">
        <v>28</v>
      </c>
      <c r="C28" s="9">
        <f t="shared" si="0"/>
        <v>2</v>
      </c>
      <c r="D28" s="8">
        <v>6</v>
      </c>
      <c r="E28" s="8">
        <v>0</v>
      </c>
      <c r="F28" s="8">
        <v>6</v>
      </c>
      <c r="G28" s="8">
        <v>0</v>
      </c>
      <c r="H28" s="8">
        <v>0</v>
      </c>
      <c r="I28" s="8">
        <v>0</v>
      </c>
      <c r="J28" s="10">
        <v>0</v>
      </c>
    </row>
    <row r="29" spans="1:10" x14ac:dyDescent="0.25">
      <c r="A29" s="9" t="s">
        <v>57</v>
      </c>
      <c r="B29" s="12" t="s">
        <v>28</v>
      </c>
      <c r="C29" s="9">
        <f t="shared" si="0"/>
        <v>4</v>
      </c>
      <c r="D29" s="8">
        <v>6</v>
      </c>
      <c r="E29" s="8">
        <v>0</v>
      </c>
      <c r="F29" s="8">
        <v>6</v>
      </c>
      <c r="G29" s="8">
        <v>0</v>
      </c>
      <c r="H29" s="8">
        <v>5</v>
      </c>
      <c r="I29" s="8">
        <v>6</v>
      </c>
      <c r="J29" s="10">
        <v>6</v>
      </c>
    </row>
    <row r="30" spans="1:10" x14ac:dyDescent="0.25">
      <c r="A30" s="9" t="s">
        <v>58</v>
      </c>
      <c r="B30" s="12" t="s">
        <v>28</v>
      </c>
      <c r="C30" s="9">
        <f t="shared" si="0"/>
        <v>0</v>
      </c>
      <c r="G30" s="8">
        <v>0</v>
      </c>
      <c r="H30" s="8">
        <v>0</v>
      </c>
      <c r="I30" s="8">
        <v>0</v>
      </c>
      <c r="J30" s="10">
        <v>0</v>
      </c>
    </row>
    <row r="31" spans="1:10" x14ac:dyDescent="0.25">
      <c r="A31" s="9" t="s">
        <v>102</v>
      </c>
      <c r="B31" s="12" t="s">
        <v>99</v>
      </c>
      <c r="C31" s="9">
        <f t="shared" si="0"/>
        <v>6</v>
      </c>
      <c r="J31" s="10">
        <v>6</v>
      </c>
    </row>
    <row r="32" spans="1:10" x14ac:dyDescent="0.25">
      <c r="A32" s="9" t="s">
        <v>103</v>
      </c>
      <c r="B32" s="12" t="s">
        <v>99</v>
      </c>
      <c r="C32" s="9">
        <f t="shared" si="0"/>
        <v>6</v>
      </c>
      <c r="I32" s="8">
        <v>6</v>
      </c>
      <c r="J32" s="10">
        <v>6</v>
      </c>
    </row>
    <row r="33" spans="1:10" x14ac:dyDescent="0.25">
      <c r="A33" s="9" t="s">
        <v>61</v>
      </c>
      <c r="B33" s="12" t="s">
        <v>28</v>
      </c>
      <c r="C33" s="9">
        <f t="shared" si="0"/>
        <v>6</v>
      </c>
      <c r="G33" s="8">
        <v>6</v>
      </c>
      <c r="H33" s="8">
        <v>6</v>
      </c>
      <c r="I33" s="8">
        <v>6</v>
      </c>
      <c r="J33" s="10">
        <v>6</v>
      </c>
    </row>
    <row r="34" spans="1:10" x14ac:dyDescent="0.25">
      <c r="A34" s="9" t="s">
        <v>62</v>
      </c>
      <c r="B34" s="12" t="s">
        <v>28</v>
      </c>
      <c r="C34" s="9">
        <f t="shared" ref="C34:C51" si="1">ROUND(AVERAGE(D34:AH34), 0)</f>
        <v>5</v>
      </c>
      <c r="G34" s="8">
        <v>0</v>
      </c>
      <c r="H34" s="8">
        <v>6</v>
      </c>
      <c r="I34" s="8">
        <v>6</v>
      </c>
      <c r="J34" s="10">
        <v>6</v>
      </c>
    </row>
    <row r="35" spans="1:10" x14ac:dyDescent="0.25">
      <c r="A35" s="9" t="s">
        <v>104</v>
      </c>
      <c r="B35" s="12" t="s">
        <v>95</v>
      </c>
      <c r="C35" s="9">
        <f t="shared" si="1"/>
        <v>6</v>
      </c>
      <c r="J35" s="10">
        <v>6</v>
      </c>
    </row>
    <row r="36" spans="1:10" x14ac:dyDescent="0.25">
      <c r="A36" s="9" t="s">
        <v>64</v>
      </c>
      <c r="B36" s="12" t="s">
        <v>99</v>
      </c>
      <c r="C36" s="9">
        <f t="shared" si="1"/>
        <v>3</v>
      </c>
      <c r="I36" s="8">
        <v>6</v>
      </c>
      <c r="J36" s="10">
        <v>0</v>
      </c>
    </row>
    <row r="37" spans="1:10" x14ac:dyDescent="0.25">
      <c r="A37" s="9" t="s">
        <v>65</v>
      </c>
      <c r="B37" s="12" t="s">
        <v>28</v>
      </c>
      <c r="C37" s="9">
        <f t="shared" si="1"/>
        <v>6</v>
      </c>
      <c r="D37" s="8">
        <v>6</v>
      </c>
      <c r="E37" s="8">
        <v>6</v>
      </c>
      <c r="F37" s="8">
        <v>6</v>
      </c>
      <c r="G37" s="8">
        <v>6</v>
      </c>
      <c r="H37" s="8">
        <v>6</v>
      </c>
      <c r="I37" s="8">
        <v>6</v>
      </c>
      <c r="J37" s="10">
        <v>6</v>
      </c>
    </row>
    <row r="38" spans="1:10" x14ac:dyDescent="0.25">
      <c r="A38" s="9" t="s">
        <v>66</v>
      </c>
      <c r="B38" s="12" t="s">
        <v>28</v>
      </c>
      <c r="C38" s="9">
        <f t="shared" si="1"/>
        <v>6</v>
      </c>
      <c r="D38" s="8">
        <v>5</v>
      </c>
      <c r="E38" s="8">
        <v>6</v>
      </c>
      <c r="F38" s="8">
        <v>6</v>
      </c>
      <c r="G38" s="8">
        <v>6</v>
      </c>
      <c r="H38" s="8">
        <v>5</v>
      </c>
      <c r="I38" s="8">
        <v>6</v>
      </c>
      <c r="J38" s="10">
        <v>6</v>
      </c>
    </row>
    <row r="39" spans="1:10" x14ac:dyDescent="0.25">
      <c r="A39" s="9" t="s">
        <v>67</v>
      </c>
      <c r="B39" s="12" t="s">
        <v>28</v>
      </c>
      <c r="C39" s="9">
        <f t="shared" si="1"/>
        <v>6</v>
      </c>
      <c r="D39" s="8">
        <v>6</v>
      </c>
      <c r="E39" s="8">
        <v>6</v>
      </c>
      <c r="F39" s="8">
        <v>6</v>
      </c>
      <c r="G39" s="8">
        <v>6</v>
      </c>
      <c r="H39" s="8">
        <v>6</v>
      </c>
      <c r="I39" s="8">
        <v>6</v>
      </c>
      <c r="J39" s="10">
        <v>6</v>
      </c>
    </row>
    <row r="40" spans="1:10" x14ac:dyDescent="0.25">
      <c r="A40" s="9" t="s">
        <v>68</v>
      </c>
      <c r="B40" s="12" t="s">
        <v>28</v>
      </c>
      <c r="C40" s="9">
        <f t="shared" si="1"/>
        <v>6</v>
      </c>
      <c r="D40" s="8">
        <v>6</v>
      </c>
      <c r="E40" s="8">
        <v>6</v>
      </c>
      <c r="F40" s="8">
        <v>6</v>
      </c>
      <c r="G40" s="8">
        <v>6</v>
      </c>
      <c r="H40" s="8">
        <v>6</v>
      </c>
      <c r="I40" s="8">
        <v>6</v>
      </c>
      <c r="J40" s="10">
        <v>6</v>
      </c>
    </row>
    <row r="41" spans="1:10" x14ac:dyDescent="0.25">
      <c r="A41" s="9" t="s">
        <v>69</v>
      </c>
      <c r="B41" s="12" t="s">
        <v>28</v>
      </c>
      <c r="C41" s="9">
        <f t="shared" si="1"/>
        <v>5</v>
      </c>
      <c r="D41" s="8">
        <v>0</v>
      </c>
      <c r="E41" s="8">
        <v>6</v>
      </c>
      <c r="F41" s="8">
        <v>6</v>
      </c>
      <c r="G41" s="8">
        <v>6</v>
      </c>
      <c r="H41" s="8">
        <v>6</v>
      </c>
      <c r="I41" s="8">
        <v>6</v>
      </c>
      <c r="J41" s="10">
        <v>5</v>
      </c>
    </row>
    <row r="42" spans="1:10" x14ac:dyDescent="0.25">
      <c r="A42" s="9" t="s">
        <v>70</v>
      </c>
      <c r="B42" s="12" t="s">
        <v>28</v>
      </c>
      <c r="C42" s="9">
        <f t="shared" si="1"/>
        <v>2</v>
      </c>
      <c r="D42" s="8">
        <v>6</v>
      </c>
      <c r="E42" s="8">
        <v>6</v>
      </c>
      <c r="F42" s="8">
        <v>0</v>
      </c>
      <c r="G42" s="8">
        <v>0</v>
      </c>
      <c r="H42" s="8">
        <v>0</v>
      </c>
      <c r="I42" s="8">
        <v>0</v>
      </c>
      <c r="J42" s="10">
        <v>0</v>
      </c>
    </row>
    <row r="43" spans="1:10" x14ac:dyDescent="0.25">
      <c r="A43" s="9" t="s">
        <v>71</v>
      </c>
      <c r="B43" s="12" t="s">
        <v>28</v>
      </c>
      <c r="C43" s="9">
        <f t="shared" si="1"/>
        <v>6</v>
      </c>
      <c r="D43" s="8">
        <v>6</v>
      </c>
      <c r="E43" s="8">
        <v>6</v>
      </c>
      <c r="F43" s="8">
        <v>6</v>
      </c>
      <c r="G43" s="8">
        <v>6</v>
      </c>
      <c r="H43" s="8">
        <v>6</v>
      </c>
      <c r="I43" s="8">
        <v>6</v>
      </c>
      <c r="J43" s="10">
        <v>6</v>
      </c>
    </row>
    <row r="44" spans="1:10" x14ac:dyDescent="0.25">
      <c r="A44" s="9" t="s">
        <v>72</v>
      </c>
      <c r="B44" s="12" t="s">
        <v>28</v>
      </c>
      <c r="C44" s="9">
        <f t="shared" si="1"/>
        <v>0</v>
      </c>
      <c r="G44" s="8">
        <v>0</v>
      </c>
      <c r="H44" s="8">
        <v>0</v>
      </c>
      <c r="I44" s="8">
        <v>0</v>
      </c>
      <c r="J44" s="10">
        <v>0</v>
      </c>
    </row>
    <row r="45" spans="1:10" x14ac:dyDescent="0.25">
      <c r="A45" s="9" t="s">
        <v>73</v>
      </c>
      <c r="B45" s="12" t="s">
        <v>28</v>
      </c>
      <c r="C45" s="9">
        <f t="shared" si="1"/>
        <v>6</v>
      </c>
      <c r="D45" s="8">
        <v>6</v>
      </c>
      <c r="E45" s="8">
        <v>6</v>
      </c>
      <c r="F45" s="8">
        <v>6</v>
      </c>
      <c r="G45" s="8">
        <v>6</v>
      </c>
      <c r="H45" s="8">
        <v>6</v>
      </c>
      <c r="I45" s="8">
        <v>6</v>
      </c>
      <c r="J45" s="10">
        <v>6</v>
      </c>
    </row>
    <row r="46" spans="1:10" x14ac:dyDescent="0.25">
      <c r="A46" s="9" t="s">
        <v>74</v>
      </c>
      <c r="B46" s="12" t="s">
        <v>28</v>
      </c>
      <c r="C46" s="9">
        <f t="shared" si="1"/>
        <v>0</v>
      </c>
      <c r="G46" s="8">
        <v>0</v>
      </c>
      <c r="H46" s="8">
        <v>0</v>
      </c>
      <c r="I46" s="8">
        <v>0</v>
      </c>
      <c r="J46" s="10">
        <v>0</v>
      </c>
    </row>
    <row r="47" spans="1:10" x14ac:dyDescent="0.25">
      <c r="A47" s="9" t="s">
        <v>75</v>
      </c>
      <c r="B47" s="12" t="s">
        <v>28</v>
      </c>
      <c r="C47" s="9">
        <f t="shared" si="1"/>
        <v>6</v>
      </c>
      <c r="G47" s="8">
        <v>6</v>
      </c>
      <c r="H47" s="8">
        <v>6</v>
      </c>
      <c r="I47" s="8">
        <v>6</v>
      </c>
      <c r="J47" s="10">
        <v>6</v>
      </c>
    </row>
    <row r="48" spans="1:10" x14ac:dyDescent="0.25">
      <c r="A48" s="9" t="s">
        <v>105</v>
      </c>
      <c r="B48" s="12" t="s">
        <v>95</v>
      </c>
      <c r="C48" s="9">
        <f t="shared" si="1"/>
        <v>4</v>
      </c>
      <c r="J48" s="10">
        <v>4</v>
      </c>
    </row>
    <row r="49" spans="1:10" x14ac:dyDescent="0.25">
      <c r="A49" s="9" t="s">
        <v>106</v>
      </c>
      <c r="B49" s="12" t="s">
        <v>95</v>
      </c>
      <c r="C49" s="9">
        <f t="shared" si="1"/>
        <v>0</v>
      </c>
      <c r="J49" s="10">
        <v>0</v>
      </c>
    </row>
    <row r="50" spans="1:10" x14ac:dyDescent="0.25">
      <c r="A50" s="9" t="s">
        <v>76</v>
      </c>
      <c r="B50" s="12" t="s">
        <v>28</v>
      </c>
      <c r="C50" s="9">
        <f t="shared" si="1"/>
        <v>4</v>
      </c>
      <c r="E50" s="8">
        <v>6</v>
      </c>
      <c r="F50" s="8">
        <v>6</v>
      </c>
      <c r="G50" s="8">
        <v>6</v>
      </c>
      <c r="H50" s="8">
        <v>0</v>
      </c>
      <c r="I50" s="8">
        <v>6</v>
      </c>
      <c r="J50" s="10">
        <v>0</v>
      </c>
    </row>
    <row r="51" spans="1:10" x14ac:dyDescent="0.25">
      <c r="A51" s="9" t="s">
        <v>107</v>
      </c>
      <c r="B51" s="12" t="s">
        <v>108</v>
      </c>
      <c r="C51" s="9" t="e">
        <f t="shared" si="1"/>
        <v>#DIV/0!</v>
      </c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tabSelected="1"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4" t="s">
        <v>109</v>
      </c>
      <c r="B1" t="s">
        <v>110</v>
      </c>
      <c r="C1" t="s">
        <v>111</v>
      </c>
      <c r="D1" t="s">
        <v>112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82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3" t="s">
        <v>118</v>
      </c>
      <c r="B2">
        <v>0</v>
      </c>
    </row>
    <row r="3" spans="1:19" x14ac:dyDescent="0.25">
      <c r="A3" s="3" t="s">
        <v>58</v>
      </c>
      <c r="B3">
        <v>0</v>
      </c>
    </row>
    <row r="4" spans="1:19" x14ac:dyDescent="0.25">
      <c r="A4" s="3" t="s">
        <v>119</v>
      </c>
      <c r="B4">
        <v>0</v>
      </c>
    </row>
    <row r="5" spans="1:19" x14ac:dyDescent="0.25">
      <c r="A5" s="3" t="s">
        <v>34</v>
      </c>
      <c r="B5">
        <v>3</v>
      </c>
    </row>
    <row r="6" spans="1:19" x14ac:dyDescent="0.25">
      <c r="A6" s="3" t="s">
        <v>59</v>
      </c>
      <c r="B6">
        <v>3</v>
      </c>
    </row>
    <row r="7" spans="1:19" x14ac:dyDescent="0.25">
      <c r="A7" s="3" t="s">
        <v>120</v>
      </c>
      <c r="B7">
        <v>9</v>
      </c>
    </row>
    <row r="8" spans="1:19" x14ac:dyDescent="0.25">
      <c r="A8" s="3" t="s">
        <v>121</v>
      </c>
      <c r="B8">
        <v>9</v>
      </c>
    </row>
    <row r="9" spans="1:19" x14ac:dyDescent="0.25">
      <c r="A9" s="3" t="s">
        <v>29</v>
      </c>
      <c r="B9">
        <v>12</v>
      </c>
    </row>
    <row r="10" spans="1:19" x14ac:dyDescent="0.25">
      <c r="A10" s="3" t="s">
        <v>50</v>
      </c>
      <c r="B10">
        <v>15</v>
      </c>
    </row>
    <row r="11" spans="1:19" x14ac:dyDescent="0.25">
      <c r="A11" s="3" t="s">
        <v>122</v>
      </c>
      <c r="B11">
        <v>19</v>
      </c>
    </row>
    <row r="12" spans="1:19" x14ac:dyDescent="0.25">
      <c r="A12" s="3" t="s">
        <v>123</v>
      </c>
      <c r="B12">
        <v>20</v>
      </c>
    </row>
    <row r="13" spans="1:19" x14ac:dyDescent="0.25">
      <c r="A13" s="3" t="s">
        <v>41</v>
      </c>
      <c r="B13">
        <v>21</v>
      </c>
    </row>
    <row r="14" spans="1:19" x14ac:dyDescent="0.25">
      <c r="A14" s="3" t="s">
        <v>124</v>
      </c>
      <c r="B14">
        <v>29</v>
      </c>
    </row>
    <row r="15" spans="1:19" x14ac:dyDescent="0.25">
      <c r="A15" s="3" t="s">
        <v>35</v>
      </c>
      <c r="B15">
        <v>32</v>
      </c>
    </row>
    <row r="16" spans="1:19" x14ac:dyDescent="0.25">
      <c r="A16" s="3" t="s">
        <v>40</v>
      </c>
      <c r="B16">
        <v>37</v>
      </c>
    </row>
    <row r="17" spans="1:2" x14ac:dyDescent="0.25">
      <c r="A17" s="3" t="s">
        <v>31</v>
      </c>
      <c r="B17">
        <v>38</v>
      </c>
    </row>
    <row r="18" spans="1:2" x14ac:dyDescent="0.25">
      <c r="A18" s="3" t="s">
        <v>72</v>
      </c>
      <c r="B18">
        <v>43</v>
      </c>
    </row>
    <row r="19" spans="1:2" x14ac:dyDescent="0.25">
      <c r="A19" s="3" t="s">
        <v>74</v>
      </c>
      <c r="B19">
        <v>47</v>
      </c>
    </row>
    <row r="20" spans="1:2" x14ac:dyDescent="0.25">
      <c r="A20" s="3" t="s">
        <v>125</v>
      </c>
      <c r="B20">
        <v>54</v>
      </c>
    </row>
    <row r="21" spans="1:2" x14ac:dyDescent="0.25">
      <c r="A21" s="3" t="s">
        <v>126</v>
      </c>
      <c r="B21">
        <v>58</v>
      </c>
    </row>
    <row r="22" spans="1:2" x14ac:dyDescent="0.25">
      <c r="A22" s="3" t="s">
        <v>127</v>
      </c>
      <c r="B22">
        <v>61</v>
      </c>
    </row>
    <row r="23" spans="1:2" x14ac:dyDescent="0.25">
      <c r="A23" s="3" t="s">
        <v>128</v>
      </c>
      <c r="B23">
        <v>70</v>
      </c>
    </row>
    <row r="24" spans="1:2" x14ac:dyDescent="0.25">
      <c r="A24" s="3" t="s">
        <v>129</v>
      </c>
      <c r="B24">
        <v>72</v>
      </c>
    </row>
    <row r="25" spans="1:2" x14ac:dyDescent="0.25">
      <c r="A25" s="3" t="s">
        <v>130</v>
      </c>
      <c r="B25">
        <v>87</v>
      </c>
    </row>
    <row r="26" spans="1:2" x14ac:dyDescent="0.25">
      <c r="A26" s="3" t="s">
        <v>39</v>
      </c>
      <c r="B26">
        <v>92</v>
      </c>
    </row>
    <row r="27" spans="1:2" x14ac:dyDescent="0.25">
      <c r="A27" s="3" t="s">
        <v>70</v>
      </c>
      <c r="B27">
        <v>96</v>
      </c>
    </row>
    <row r="28" spans="1:2" x14ac:dyDescent="0.25">
      <c r="A28" s="3" t="s">
        <v>44</v>
      </c>
      <c r="B28">
        <v>102</v>
      </c>
    </row>
    <row r="29" spans="1:2" x14ac:dyDescent="0.25">
      <c r="A29" s="3" t="s">
        <v>65</v>
      </c>
      <c r="B29">
        <v>103</v>
      </c>
    </row>
    <row r="30" spans="1:2" x14ac:dyDescent="0.25">
      <c r="A30" s="3" t="s">
        <v>32</v>
      </c>
      <c r="B30">
        <v>105</v>
      </c>
    </row>
    <row r="31" spans="1:2" x14ac:dyDescent="0.25">
      <c r="A31" s="3" t="s">
        <v>66</v>
      </c>
      <c r="B31">
        <v>109</v>
      </c>
    </row>
    <row r="32" spans="1:2" x14ac:dyDescent="0.25">
      <c r="A32" s="3" t="s">
        <v>38</v>
      </c>
      <c r="B32">
        <v>130</v>
      </c>
    </row>
    <row r="33" spans="1:2" x14ac:dyDescent="0.25">
      <c r="A33" s="3" t="s">
        <v>62</v>
      </c>
      <c r="B33">
        <v>132</v>
      </c>
    </row>
    <row r="34" spans="1:2" x14ac:dyDescent="0.25">
      <c r="A34" s="3" t="s">
        <v>68</v>
      </c>
      <c r="B34">
        <v>169</v>
      </c>
    </row>
    <row r="35" spans="1:2" x14ac:dyDescent="0.25">
      <c r="A35" s="3" t="s">
        <v>67</v>
      </c>
      <c r="B35">
        <v>171</v>
      </c>
    </row>
    <row r="36" spans="1:2" x14ac:dyDescent="0.25">
      <c r="A36" s="3" t="s">
        <v>45</v>
      </c>
      <c r="B36">
        <v>192</v>
      </c>
    </row>
    <row r="37" spans="1:2" x14ac:dyDescent="0.25">
      <c r="A37" s="3" t="s">
        <v>56</v>
      </c>
      <c r="B37">
        <v>199</v>
      </c>
    </row>
    <row r="38" spans="1:2" x14ac:dyDescent="0.25">
      <c r="A38" s="3" t="s">
        <v>33</v>
      </c>
      <c r="B38">
        <v>212</v>
      </c>
    </row>
    <row r="39" spans="1:2" x14ac:dyDescent="0.25">
      <c r="A39" s="3" t="s">
        <v>73</v>
      </c>
      <c r="B39">
        <v>228</v>
      </c>
    </row>
    <row r="40" spans="1:2" x14ac:dyDescent="0.25">
      <c r="A40" s="3" t="s">
        <v>57</v>
      </c>
      <c r="B40">
        <v>237</v>
      </c>
    </row>
    <row r="41" spans="1:2" x14ac:dyDescent="0.25">
      <c r="A41" s="3" t="s">
        <v>76</v>
      </c>
      <c r="B41">
        <v>239</v>
      </c>
    </row>
    <row r="42" spans="1:2" x14ac:dyDescent="0.25">
      <c r="A42" s="3" t="s">
        <v>55</v>
      </c>
      <c r="B42">
        <v>282</v>
      </c>
    </row>
    <row r="43" spans="1:2" x14ac:dyDescent="0.25">
      <c r="A43" s="3" t="s">
        <v>75</v>
      </c>
      <c r="B43">
        <v>376</v>
      </c>
    </row>
    <row r="44" spans="1:2" x14ac:dyDescent="0.25">
      <c r="A44" s="3" t="s">
        <v>71</v>
      </c>
      <c r="B44">
        <v>388</v>
      </c>
    </row>
    <row r="45" spans="1:2" x14ac:dyDescent="0.25">
      <c r="A45" s="3" t="s">
        <v>131</v>
      </c>
      <c r="B45">
        <v>424</v>
      </c>
    </row>
    <row r="46" spans="1:2" x14ac:dyDescent="0.25">
      <c r="A46" s="3" t="s">
        <v>69</v>
      </c>
      <c r="B46">
        <v>491</v>
      </c>
    </row>
    <row r="47" spans="1:2" x14ac:dyDescent="0.25">
      <c r="A47" s="3" t="s">
        <v>54</v>
      </c>
      <c r="B47">
        <v>538</v>
      </c>
    </row>
    <row r="48" spans="1:2" x14ac:dyDescent="0.25">
      <c r="A48" s="3" t="s">
        <v>27</v>
      </c>
      <c r="B48">
        <v>552</v>
      </c>
    </row>
    <row r="49" spans="1:2" x14ac:dyDescent="0.25">
      <c r="A49" s="3" t="s">
        <v>53</v>
      </c>
      <c r="B49">
        <v>566</v>
      </c>
    </row>
    <row r="50" spans="1:2" x14ac:dyDescent="0.25">
      <c r="A50" s="3" t="s">
        <v>52</v>
      </c>
      <c r="B50">
        <v>650</v>
      </c>
    </row>
    <row r="51" spans="1:2" x14ac:dyDescent="0.25">
      <c r="A51" s="3" t="s">
        <v>61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2026-01-09T16:31:58Z</dcterms:modified>
</cp:coreProperties>
</file>