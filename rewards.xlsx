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iegi\Documents\GitHub\clashMacacos\"/>
    </mc:Choice>
  </mc:AlternateContent>
  <xr:revisionPtr revIDLastSave="0" documentId="13_ncr:1_{C8594C27-BB6A-4366-874C-047A34493047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CWL 1" sheetId="1" r:id="rId1"/>
    <sheet name="CWL 2" sheetId="2" r:id="rId2"/>
    <sheet name="CWL 3" sheetId="3" r:id="rId3"/>
    <sheet name="CWL 4" sheetId="4" r:id="rId4"/>
    <sheet name="avv" sheetId="5" r:id="rId5"/>
    <sheet name="partecipanti" sheetId="6" r:id="rId6"/>
    <sheet name="wars" sheetId="7" r:id="rId7"/>
  </sheets>
  <definedNames>
    <definedName name="_xlnm._FilterDatabase" localSheetId="6" hidden="1">wars!$A$1:$CL$1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4" i="2" l="1"/>
  <c r="S34" i="2"/>
  <c r="P34" i="2"/>
  <c r="D34" i="2"/>
  <c r="V32" i="2"/>
  <c r="S32" i="2"/>
  <c r="J32" i="2"/>
  <c r="G32" i="2"/>
  <c r="D32" i="2"/>
  <c r="V31" i="2"/>
  <c r="S31" i="2"/>
  <c r="P31" i="2"/>
  <c r="M31" i="2"/>
  <c r="J31" i="2"/>
  <c r="G31" i="2"/>
  <c r="D31" i="2"/>
  <c r="V30" i="2"/>
  <c r="S30" i="2"/>
  <c r="P30" i="2"/>
  <c r="M30" i="2"/>
  <c r="J30" i="2"/>
  <c r="G30" i="2"/>
  <c r="D30" i="2"/>
  <c r="V29" i="2"/>
  <c r="S29" i="2"/>
  <c r="P29" i="2"/>
  <c r="M29" i="2"/>
  <c r="J29" i="2"/>
  <c r="G29" i="2"/>
  <c r="D29" i="2"/>
  <c r="V28" i="2"/>
  <c r="S28" i="2"/>
  <c r="P28" i="2"/>
  <c r="M28" i="2"/>
  <c r="J28" i="2"/>
  <c r="G28" i="2"/>
  <c r="D28" i="2"/>
  <c r="V27" i="2"/>
  <c r="S27" i="2"/>
  <c r="P27" i="2"/>
  <c r="J27" i="2"/>
  <c r="G27" i="2"/>
  <c r="D27" i="2"/>
  <c r="V26" i="2"/>
  <c r="S26" i="2"/>
  <c r="P26" i="2"/>
  <c r="M26" i="2"/>
  <c r="G26" i="2"/>
  <c r="D26" i="2"/>
  <c r="V25" i="2"/>
  <c r="S25" i="2"/>
  <c r="P25" i="2"/>
  <c r="J25" i="2"/>
  <c r="G25" i="2"/>
  <c r="D25" i="2"/>
  <c r="V24" i="2"/>
  <c r="S24" i="2"/>
  <c r="M24" i="2"/>
  <c r="V23" i="2"/>
  <c r="S23" i="2"/>
  <c r="P23" i="2"/>
  <c r="M23" i="2"/>
  <c r="J23" i="2"/>
  <c r="G23" i="2"/>
  <c r="D23" i="2"/>
  <c r="V22" i="2"/>
  <c r="S22" i="2"/>
  <c r="P22" i="2"/>
  <c r="M22" i="2"/>
  <c r="J22" i="2"/>
  <c r="G22" i="2"/>
  <c r="D22" i="2"/>
  <c r="V21" i="2"/>
  <c r="S21" i="2"/>
  <c r="P21" i="2"/>
  <c r="M21" i="2"/>
  <c r="J21" i="2"/>
  <c r="V20" i="2"/>
  <c r="S20" i="2"/>
  <c r="P20" i="2"/>
  <c r="M20" i="2"/>
  <c r="J20" i="2"/>
  <c r="G20" i="2"/>
  <c r="D20" i="2"/>
  <c r="V19" i="2"/>
  <c r="S19" i="2"/>
  <c r="P19" i="2"/>
  <c r="V18" i="2"/>
  <c r="S18" i="2"/>
  <c r="P18" i="2"/>
  <c r="M18" i="2"/>
  <c r="J18" i="2"/>
  <c r="G18" i="2"/>
  <c r="D18" i="2"/>
  <c r="V17" i="2"/>
  <c r="S17" i="2"/>
  <c r="P17" i="2"/>
  <c r="M17" i="2"/>
  <c r="J17" i="2"/>
  <c r="G17" i="2"/>
  <c r="D17" i="2"/>
  <c r="V16" i="2"/>
  <c r="S16" i="2"/>
  <c r="P16" i="2"/>
  <c r="M16" i="2"/>
  <c r="J16" i="2"/>
  <c r="G16" i="2"/>
  <c r="D16" i="2"/>
  <c r="V15" i="2"/>
  <c r="S15" i="2"/>
  <c r="P15" i="2"/>
  <c r="M15" i="2"/>
  <c r="J15" i="2"/>
  <c r="G15" i="2"/>
  <c r="D15" i="2"/>
  <c r="V14" i="2"/>
  <c r="S14" i="2"/>
  <c r="P14" i="2"/>
  <c r="M14" i="2"/>
  <c r="J14" i="2"/>
  <c r="G14" i="2"/>
  <c r="D14" i="2"/>
  <c r="V13" i="2"/>
  <c r="S13" i="2"/>
  <c r="P13" i="2"/>
  <c r="M13" i="2"/>
  <c r="J13" i="2"/>
  <c r="G13" i="2"/>
  <c r="D13" i="2"/>
  <c r="V12" i="2"/>
  <c r="S12" i="2"/>
  <c r="P12" i="2"/>
  <c r="M12" i="2"/>
  <c r="D12" i="2"/>
  <c r="V11" i="2"/>
  <c r="S11" i="2"/>
  <c r="P11" i="2"/>
  <c r="M11" i="2"/>
  <c r="J11" i="2"/>
  <c r="G11" i="2"/>
  <c r="D11" i="2"/>
  <c r="V10" i="2"/>
  <c r="S10" i="2"/>
  <c r="P10" i="2"/>
  <c r="M10" i="2"/>
  <c r="J10" i="2"/>
  <c r="G10" i="2"/>
  <c r="D10" i="2"/>
  <c r="V9" i="2"/>
  <c r="S9" i="2"/>
  <c r="V8" i="2"/>
  <c r="S8" i="2"/>
  <c r="P8" i="2"/>
  <c r="M8" i="2"/>
  <c r="J8" i="2"/>
  <c r="G8" i="2"/>
  <c r="D8" i="2"/>
  <c r="V7" i="2"/>
  <c r="S7" i="2"/>
  <c r="P7" i="2"/>
  <c r="M7" i="2"/>
  <c r="J7" i="2"/>
  <c r="G7" i="2"/>
  <c r="D7" i="2"/>
  <c r="V6" i="2"/>
  <c r="S6" i="2"/>
  <c r="M6" i="2"/>
  <c r="J6" i="2"/>
  <c r="D6" i="2"/>
  <c r="V5" i="2"/>
  <c r="S5" i="2"/>
  <c r="P5" i="2"/>
  <c r="M5" i="2"/>
  <c r="G5" i="2"/>
  <c r="D5" i="2"/>
  <c r="V4" i="2"/>
  <c r="S4" i="2"/>
  <c r="P4" i="2"/>
  <c r="G4" i="2"/>
  <c r="D4" i="2"/>
  <c r="V3" i="2"/>
  <c r="S3" i="2"/>
  <c r="P3" i="2"/>
  <c r="M3" i="2"/>
  <c r="J3" i="2"/>
  <c r="G3" i="2"/>
  <c r="D3" i="2"/>
  <c r="F51" i="7"/>
  <c r="E51" i="7"/>
  <c r="F50" i="7"/>
  <c r="E50" i="7"/>
  <c r="F49" i="7"/>
  <c r="E49" i="7"/>
  <c r="F48" i="7"/>
  <c r="E48" i="7"/>
  <c r="F47" i="7"/>
  <c r="E47" i="7"/>
  <c r="F46" i="7"/>
  <c r="E46" i="7"/>
  <c r="F45" i="7"/>
  <c r="E45" i="7"/>
  <c r="F44" i="7"/>
  <c r="E44" i="7"/>
  <c r="F43" i="7"/>
  <c r="E43" i="7"/>
  <c r="F42" i="7"/>
  <c r="E42" i="7"/>
  <c r="F41" i="7"/>
  <c r="E41" i="7"/>
  <c r="F40" i="7"/>
  <c r="E40" i="7"/>
  <c r="F39" i="7"/>
  <c r="E39" i="7"/>
  <c r="F38" i="7"/>
  <c r="E38" i="7"/>
  <c r="F37" i="7"/>
  <c r="E37" i="7"/>
  <c r="F36" i="7"/>
  <c r="E36" i="7"/>
  <c r="F35" i="7"/>
  <c r="E35" i="7"/>
  <c r="F34" i="7"/>
  <c r="E34" i="7"/>
  <c r="F33" i="7"/>
  <c r="E33" i="7"/>
  <c r="F32" i="7"/>
  <c r="E32" i="7"/>
  <c r="F31" i="7"/>
  <c r="E31" i="7"/>
  <c r="F30" i="7"/>
  <c r="E30" i="7"/>
  <c r="F29" i="7"/>
  <c r="E29" i="7"/>
  <c r="F28" i="7"/>
  <c r="E28" i="7"/>
  <c r="F27" i="7"/>
  <c r="E27" i="7"/>
  <c r="F26" i="7"/>
  <c r="E26" i="7"/>
  <c r="F25" i="7"/>
  <c r="E25" i="7"/>
  <c r="F24" i="7"/>
  <c r="E24" i="7"/>
  <c r="F23" i="7"/>
  <c r="E23" i="7"/>
  <c r="F22" i="7"/>
  <c r="E22" i="7"/>
  <c r="F21" i="7"/>
  <c r="E21" i="7"/>
  <c r="F20" i="7"/>
  <c r="E20" i="7"/>
  <c r="F19" i="7"/>
  <c r="E19" i="7"/>
  <c r="F18" i="7"/>
  <c r="E18" i="7"/>
  <c r="F17" i="7"/>
  <c r="E17" i="7"/>
  <c r="F16" i="7"/>
  <c r="E16" i="7"/>
  <c r="F15" i="7"/>
  <c r="E15" i="7"/>
  <c r="F14" i="7"/>
  <c r="E14" i="7"/>
  <c r="F13" i="7"/>
  <c r="E13" i="7"/>
  <c r="F12" i="7"/>
  <c r="E12" i="7"/>
  <c r="F11" i="7"/>
  <c r="E11" i="7"/>
  <c r="F10" i="7"/>
  <c r="E10" i="7"/>
  <c r="F9" i="7"/>
  <c r="E9" i="7"/>
  <c r="F8" i="7"/>
  <c r="E8" i="7"/>
  <c r="F7" i="7"/>
  <c r="E7" i="7"/>
  <c r="F6" i="7"/>
  <c r="E6" i="7"/>
  <c r="F5" i="7"/>
  <c r="E5" i="7"/>
  <c r="F4" i="7"/>
  <c r="E4" i="7"/>
  <c r="F3" i="7"/>
  <c r="E3" i="7"/>
  <c r="F2" i="7"/>
  <c r="E2" i="7"/>
</calcChain>
</file>

<file path=xl/sharedStrings.xml><?xml version="1.0" encoding="utf-8"?>
<sst xmlns="http://schemas.openxmlformats.org/spreadsheetml/2006/main" count="772" uniqueCount="282">
  <si>
    <t>NAME</t>
  </si>
  <si>
    <t>ATK SKIP</t>
  </si>
  <si>
    <t>ZERO WAR  ATK</t>
  </si>
  <si>
    <t>TOT WARS</t>
  </si>
  <si>
    <t>TOT STARS</t>
  </si>
  <si>
    <t>AVG STAR</t>
  </si>
  <si>
    <t>WAR-1 (1)</t>
  </si>
  <si>
    <t>WAR-1 (2)</t>
  </si>
  <si>
    <t>WAR-2 (1)</t>
  </si>
  <si>
    <t>WAR-2 (2)</t>
  </si>
  <si>
    <t>WAR-3 (1)</t>
  </si>
  <si>
    <t>WAR-3 (2)</t>
  </si>
  <si>
    <t>WAR-4 (1)</t>
  </si>
  <si>
    <t>WAR-4 (2)</t>
  </si>
  <si>
    <t>WAR-5 (1)</t>
  </si>
  <si>
    <t>WAR-5 (2)</t>
  </si>
  <si>
    <t>WAR-6 (1)</t>
  </si>
  <si>
    <t>WAR-6 (2)</t>
  </si>
  <si>
    <t>WAR-7 (1)</t>
  </si>
  <si>
    <t>WAR-7 (2)</t>
  </si>
  <si>
    <t>WAR-8 (1)</t>
  </si>
  <si>
    <t>WAR-8 (2)</t>
  </si>
  <si>
    <t>WAR-9 (1)</t>
  </si>
  <si>
    <t>WAR-9 (2)</t>
  </si>
  <si>
    <t>WAR-10 (1)</t>
  </si>
  <si>
    <t>WAR-10 (2)</t>
  </si>
  <si>
    <t>WAR-11 (1)</t>
  </si>
  <si>
    <t>WAR-11 (2)</t>
  </si>
  <si>
    <t>WAR-12(1)</t>
  </si>
  <si>
    <t>WAR-12 (2)</t>
  </si>
  <si>
    <t>WAR-13 (1)</t>
  </si>
  <si>
    <t>WAR-13 (2)</t>
  </si>
  <si>
    <t>WAR-14 (1)</t>
  </si>
  <si>
    <t>WAR-14 (2)</t>
  </si>
  <si>
    <t>WAR-15 (1)</t>
  </si>
  <si>
    <t>WAR-15 (2)</t>
  </si>
  <si>
    <t>WAR-16 (1)</t>
  </si>
  <si>
    <t>WAR-16 (2)</t>
  </si>
  <si>
    <t>WAR-17 (1)</t>
  </si>
  <si>
    <t>WAR-17 (2)</t>
  </si>
  <si>
    <t>WAR-18 (1)</t>
  </si>
  <si>
    <t>WAR-18 (2)</t>
  </si>
  <si>
    <t>WAR-19 (1)</t>
  </si>
  <si>
    <t>WAR-19 (2)</t>
  </si>
  <si>
    <t>WAR-20 (1)</t>
  </si>
  <si>
    <t>WAR-20 (2)</t>
  </si>
  <si>
    <t>WAR-21 (1)</t>
  </si>
  <si>
    <t>WAR-21 (2)</t>
  </si>
  <si>
    <t>WAR-22 (1)</t>
  </si>
  <si>
    <t>WAR-22 (2)</t>
  </si>
  <si>
    <t>WAR-23 (1)</t>
  </si>
  <si>
    <t>WAR-23 (2)</t>
  </si>
  <si>
    <t>WAR-24 (1)</t>
  </si>
  <si>
    <t>WAR-24 (2)</t>
  </si>
  <si>
    <t>WAR-25 (1)</t>
  </si>
  <si>
    <t>WAR-25 (2)</t>
  </si>
  <si>
    <t>WAR-26 (1)</t>
  </si>
  <si>
    <t>WAR-26 (2)</t>
  </si>
  <si>
    <t>WAR-27 (1)</t>
  </si>
  <si>
    <t>WAR-27 (2)</t>
  </si>
  <si>
    <t>WAR-28 (1)</t>
  </si>
  <si>
    <t>WAR-28 (2)</t>
  </si>
  <si>
    <t>WAR-29 (1)</t>
  </si>
  <si>
    <t>WAR-29 (2)</t>
  </si>
  <si>
    <t>WAR-30 (1)</t>
  </si>
  <si>
    <t>WAR-30 (2)</t>
  </si>
  <si>
    <t>WAR-31 (1)</t>
  </si>
  <si>
    <t>WAR-31 (2)</t>
  </si>
  <si>
    <t>WAR-32 (1)</t>
  </si>
  <si>
    <t>WAR-32 (2)</t>
  </si>
  <si>
    <t>WAR-33 (1)</t>
  </si>
  <si>
    <t>WAR-33 (2)</t>
  </si>
  <si>
    <t>Colonna73</t>
  </si>
  <si>
    <t>Colonna74</t>
  </si>
  <si>
    <t>Colonna75</t>
  </si>
  <si>
    <t>Colonna76</t>
  </si>
  <si>
    <t>Colonna77</t>
  </si>
  <si>
    <t>Colonna78</t>
  </si>
  <si>
    <t>Colonna79</t>
  </si>
  <si>
    <t>Colonna80</t>
  </si>
  <si>
    <t>Colonna81</t>
  </si>
  <si>
    <t>Colonna82</t>
  </si>
  <si>
    <t>Colonna83</t>
  </si>
  <si>
    <t>Colonna84</t>
  </si>
  <si>
    <t>Colonna85</t>
  </si>
  <si>
    <t>Colonna86</t>
  </si>
  <si>
    <t>Colonna87</t>
  </si>
  <si>
    <t>655321</t>
  </si>
  <si>
    <t>Alessio9797</t>
  </si>
  <si>
    <t>alhfmfh</t>
  </si>
  <si>
    <t>SKIP</t>
  </si>
  <si>
    <t>Amazonie</t>
  </si>
  <si>
    <t>antony</t>
  </si>
  <si>
    <t>BigGiurz08</t>
  </si>
  <si>
    <t>BigMc23</t>
  </si>
  <si>
    <t>buff x-bow</t>
  </si>
  <si>
    <t>Chabby</t>
  </si>
  <si>
    <t>cucco</t>
  </si>
  <si>
    <t>dado</t>
  </si>
  <si>
    <t>Dasters79</t>
  </si>
  <si>
    <t>Edoardo9</t>
  </si>
  <si>
    <t>EdoDodo</t>
  </si>
  <si>
    <t>ER DANDI 1927</t>
  </si>
  <si>
    <t>Floky23</t>
  </si>
  <si>
    <t>GGfresco_08</t>
  </si>
  <si>
    <t>gionny</t>
  </si>
  <si>
    <t>GiornoBrando</t>
  </si>
  <si>
    <t>haha</t>
  </si>
  <si>
    <t>HikariNoRob</t>
  </si>
  <si>
    <t>Kle</t>
  </si>
  <si>
    <t>leo</t>
  </si>
  <si>
    <t>Luca</t>
  </si>
  <si>
    <t>LucFir3</t>
  </si>
  <si>
    <t>Luigi</t>
  </si>
  <si>
    <t>maikol_lix</t>
  </si>
  <si>
    <t>Mario</t>
  </si>
  <si>
    <t>MIRIAM MIRIAM</t>
  </si>
  <si>
    <t>omar</t>
  </si>
  <si>
    <t>papi</t>
  </si>
  <si>
    <t>PESCARA MANZIA</t>
  </si>
  <si>
    <t>piegian99</t>
  </si>
  <si>
    <t>pigiamone99</t>
  </si>
  <si>
    <t>PIPPII</t>
  </si>
  <si>
    <t>revolver</t>
  </si>
  <si>
    <t>RobbyCV</t>
  </si>
  <si>
    <t>Simone</t>
  </si>
  <si>
    <t>Stentaaa</t>
  </si>
  <si>
    <t>StepanYT Ita Uk</t>
  </si>
  <si>
    <t>SubOhm</t>
  </si>
  <si>
    <t>xbladze</t>
  </si>
  <si>
    <t>zordan</t>
  </si>
  <si>
    <t>falcuns</t>
  </si>
  <si>
    <t>er samu</t>
  </si>
  <si>
    <t>Juri</t>
  </si>
  <si>
    <t>krigohard</t>
  </si>
  <si>
    <t>TinoGiusa</t>
  </si>
  <si>
    <t>cactus</t>
  </si>
  <si>
    <t>Steninja:)</t>
  </si>
  <si>
    <t>nome</t>
  </si>
  <si>
    <t>pos</t>
  </si>
  <si>
    <t>th</t>
  </si>
  <si>
    <t>stelle</t>
  </si>
  <si>
    <t>xblade</t>
  </si>
  <si>
    <t>marcojk</t>
  </si>
  <si>
    <t>bigmc</t>
  </si>
  <si>
    <t>luigi01</t>
  </si>
  <si>
    <t>12 13</t>
  </si>
  <si>
    <t>luigi</t>
  </si>
  <si>
    <t>stentaa</t>
  </si>
  <si>
    <t>cleopatra</t>
  </si>
  <si>
    <t>11 12</t>
  </si>
  <si>
    <t>hikarinorob</t>
  </si>
  <si>
    <t>brazo</t>
  </si>
  <si>
    <t>roberta</t>
  </si>
  <si>
    <t>giosan</t>
  </si>
  <si>
    <t>hampones</t>
  </si>
  <si>
    <t>serra008</t>
  </si>
  <si>
    <t>dux</t>
  </si>
  <si>
    <t>luxor</t>
  </si>
  <si>
    <t>lakaka</t>
  </si>
  <si>
    <t>buffxbow</t>
  </si>
  <si>
    <t>floky</t>
  </si>
  <si>
    <t>robbycv</t>
  </si>
  <si>
    <t>juan falco</t>
  </si>
  <si>
    <t>pigiamone</t>
  </si>
  <si>
    <t>lokoss</t>
  </si>
  <si>
    <t>thanos</t>
  </si>
  <si>
    <t>maikol</t>
  </si>
  <si>
    <t>dio animale</t>
  </si>
  <si>
    <t>10 11</t>
  </si>
  <si>
    <t>simone</t>
  </si>
  <si>
    <t>attacco basso</t>
  </si>
  <si>
    <t>attacco pessimo</t>
  </si>
  <si>
    <t>no attacco</t>
  </si>
  <si>
    <t>assegnazione forzata</t>
  </si>
  <si>
    <t>marcojk007</t>
  </si>
  <si>
    <t>chabby</t>
  </si>
  <si>
    <t>zombra</t>
  </si>
  <si>
    <t>buff-x-bow</t>
  </si>
  <si>
    <t>d 011</t>
  </si>
  <si>
    <t>sono io lakaka</t>
  </si>
  <si>
    <t>sidcu</t>
  </si>
  <si>
    <t>18+ pos</t>
  </si>
  <si>
    <t>kakko garau</t>
  </si>
  <si>
    <t>serena</t>
  </si>
  <si>
    <t>di gio</t>
  </si>
  <si>
    <t>heloo</t>
  </si>
  <si>
    <t xml:space="preserve"> attacco ok</t>
  </si>
  <si>
    <t>ottimo attacco</t>
  </si>
  <si>
    <t>attacco meh</t>
  </si>
  <si>
    <t xml:space="preserve">dado     </t>
  </si>
  <si>
    <t xml:space="preserve">Stentaaa </t>
  </si>
  <si>
    <t xml:space="preserve">BigMc23  </t>
  </si>
  <si>
    <t>Valh</t>
  </si>
  <si>
    <t>Queen of Shadow</t>
  </si>
  <si>
    <t>MASCHI</t>
  </si>
  <si>
    <t>¥CATA¥</t>
  </si>
  <si>
    <t>xNullx</t>
  </si>
  <si>
    <t>Luxor</t>
  </si>
  <si>
    <t>th4nos</t>
  </si>
  <si>
    <t>!!!!!!!</t>
  </si>
  <si>
    <t>sidcujs</t>
  </si>
  <si>
    <t>ajejebrazorf</t>
  </si>
  <si>
    <t>R1cky_boffo</t>
  </si>
  <si>
    <t>Brazo</t>
  </si>
  <si>
    <t>Favij</t>
  </si>
  <si>
    <t>Essenc3_kin4</t>
  </si>
  <si>
    <t>Zine</t>
  </si>
  <si>
    <t>Roberta</t>
  </si>
  <si>
    <t>ggfgd</t>
  </si>
  <si>
    <t>NO SONDAGGIO</t>
  </si>
  <si>
    <t>inserito dopo</t>
  </si>
  <si>
    <t>x</t>
  </si>
  <si>
    <t xml:space="preserve">zordan </t>
  </si>
  <si>
    <t>n</t>
  </si>
  <si>
    <t>andriu07</t>
  </si>
  <si>
    <t>favretto</t>
  </si>
  <si>
    <t>francesco</t>
  </si>
  <si>
    <t>Fryck</t>
  </si>
  <si>
    <t>IL MAGO NERO</t>
  </si>
  <si>
    <t>attacco brutto</t>
  </si>
  <si>
    <t>CWL2</t>
  </si>
  <si>
    <t>GX king</t>
  </si>
  <si>
    <t>CWL 4</t>
  </si>
  <si>
    <t>CWL5</t>
  </si>
  <si>
    <t xml:space="preserve">Ale22       </t>
  </si>
  <si>
    <t>Dado</t>
  </si>
  <si>
    <t>Ale22</t>
  </si>
  <si>
    <t>fabiovesco</t>
  </si>
  <si>
    <t xml:space="preserve">dado        </t>
  </si>
  <si>
    <t>Darvix</t>
  </si>
  <si>
    <t>dela</t>
  </si>
  <si>
    <t>Cleopatra</t>
  </si>
  <si>
    <t>edododo</t>
  </si>
  <si>
    <t>nik</t>
  </si>
  <si>
    <t>Giosan</t>
  </si>
  <si>
    <t>Giorgio</t>
  </si>
  <si>
    <t>Diti</t>
  </si>
  <si>
    <t>buff x bow</t>
  </si>
  <si>
    <t>KANEKI</t>
  </si>
  <si>
    <t>christian</t>
  </si>
  <si>
    <t>Leo</t>
  </si>
  <si>
    <t xml:space="preserve">haha        </t>
  </si>
  <si>
    <t>GioStyle</t>
  </si>
  <si>
    <t>tazio</t>
  </si>
  <si>
    <t>king</t>
  </si>
  <si>
    <t xml:space="preserve">HikariNoRob </t>
  </si>
  <si>
    <t>Leonida</t>
  </si>
  <si>
    <t>fabio</t>
  </si>
  <si>
    <t>Loris</t>
  </si>
  <si>
    <t>daniele</t>
  </si>
  <si>
    <t>Omar</t>
  </si>
  <si>
    <t xml:space="preserve">Luigi       </t>
  </si>
  <si>
    <t>serra</t>
  </si>
  <si>
    <t>federico99</t>
  </si>
  <si>
    <t>Robby</t>
  </si>
  <si>
    <t>sidcu js</t>
  </si>
  <si>
    <t xml:space="preserve">piegian99   </t>
  </si>
  <si>
    <t>lord pucci</t>
  </si>
  <si>
    <t>zine</t>
  </si>
  <si>
    <t xml:space="preserve">pigiamone99 </t>
  </si>
  <si>
    <t>danielpica</t>
  </si>
  <si>
    <t xml:space="preserve">PIPPII      </t>
  </si>
  <si>
    <t>Staenta</t>
  </si>
  <si>
    <t>loris</t>
  </si>
  <si>
    <t xml:space="preserve">revolver    </t>
  </si>
  <si>
    <t>Fra</t>
  </si>
  <si>
    <t>subohm</t>
  </si>
  <si>
    <t xml:space="preserve">Stentaaa    </t>
  </si>
  <si>
    <t>Xblade</t>
  </si>
  <si>
    <t>xnullx</t>
  </si>
  <si>
    <t xml:space="preserve">zordan      </t>
  </si>
  <si>
    <t>queen of shadow</t>
  </si>
  <si>
    <t>ggfd</t>
  </si>
  <si>
    <t>X</t>
  </si>
  <si>
    <t>salvo24</t>
  </si>
  <si>
    <t>Spiderman</t>
  </si>
  <si>
    <t>riserve</t>
  </si>
  <si>
    <t>fuori</t>
  </si>
  <si>
    <t>tinogiusa</t>
  </si>
  <si>
    <t>salvuz</t>
  </si>
  <si>
    <t>juri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</si>
</sst>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9" tint="0.39997558519241921"/>
      <name val="Aptos Narrow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30">
    <xf numFmtId="0" fontId="0" fillId="0" borderId="0" xfId="0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2" borderId="3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2" xfId="0" applyFill="1" applyBorder="1" applyAlignment="1">
      <alignment horizontal="center"/>
    </xf>
    <xf numFmtId="17" fontId="0" fillId="0" borderId="0" xfId="0" applyNumberFormat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5" xfId="0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0" xfId="0" applyFill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2" borderId="4" xfId="0" applyFill="1" applyBorder="1" applyAlignment="1">
      <alignment horizontal="center" vertical="top"/>
    </xf>
    <xf numFmtId="0" fontId="0" fillId="2" borderId="3" xfId="0" applyFill="1" applyBorder="1" applyAlignment="1">
      <alignment horizontal="center" vertical="top"/>
    </xf>
    <xf numFmtId="0" fontId="0" fillId="2" borderId="5" xfId="0" applyFill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8" borderId="5" xfId="0" applyFill="1" applyBorder="1" applyAlignment="1">
      <alignment horizontal="center" vertical="top"/>
    </xf>
    <xf numFmtId="0" fontId="0" fillId="7" borderId="5" xfId="0" applyFill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0" fillId="6" borderId="5" xfId="0" applyFill="1" applyBorder="1" applyAlignment="1">
      <alignment horizontal="center" vertical="top"/>
    </xf>
    <xf numFmtId="0" fontId="0" fillId="3" borderId="5" xfId="0" applyFill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9" borderId="5" xfId="0" applyFill="1" applyBorder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0" fillId="7" borderId="1" xfId="0" applyFill="1" applyBorder="1" applyAlignment="1">
      <alignment horizontal="center" vertical="top"/>
    </xf>
    <xf numFmtId="0" fontId="0" fillId="6" borderId="2" xfId="0" applyFill="1" applyBorder="1" applyAlignment="1">
      <alignment horizontal="center" vertical="top"/>
    </xf>
    <xf numFmtId="0" fontId="0" fillId="9" borderId="1" xfId="0" applyFill="1" applyBorder="1" applyAlignment="1">
      <alignment horizontal="center" vertical="top"/>
    </xf>
    <xf numFmtId="0" fontId="0" fillId="5" borderId="2" xfId="0" applyFill="1" applyBorder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10" borderId="1" xfId="0" applyFill="1" applyBorder="1" applyAlignment="1">
      <alignment horizontal="center" vertical="top"/>
    </xf>
    <xf numFmtId="0" fontId="0" fillId="10" borderId="0" xfId="0" applyFill="1" applyAlignment="1">
      <alignment horizontal="center" vertical="top"/>
    </xf>
    <xf numFmtId="0" fontId="0" fillId="10" borderId="2" xfId="0" applyFill="1" applyBorder="1" applyAlignment="1">
      <alignment horizontal="center" vertical="top"/>
    </xf>
    <xf numFmtId="0" fontId="0" fillId="10" borderId="1" xfId="0" quotePrefix="1" applyFill="1" applyBorder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11" borderId="6" xfId="0" applyFill="1" applyBorder="1" applyAlignment="1">
      <alignment horizontal="center" vertical="top"/>
    </xf>
    <xf numFmtId="0" fontId="0" fillId="9" borderId="0" xfId="0" applyFill="1" applyAlignment="1">
      <alignment horizontal="center" vertical="top"/>
    </xf>
    <xf numFmtId="0" fontId="0" fillId="12" borderId="0" xfId="0" applyFill="1" applyAlignment="1">
      <alignment horizontal="center" vertical="top"/>
    </xf>
    <xf numFmtId="0" fontId="0" fillId="3" borderId="2" xfId="0" applyFill="1" applyBorder="1" applyAlignment="1">
      <alignment horizontal="center" vertical="top"/>
    </xf>
    <xf numFmtId="0" fontId="0" fillId="13" borderId="1" xfId="0" applyFill="1" applyBorder="1" applyAlignment="1">
      <alignment horizontal="center" vertical="top"/>
    </xf>
    <xf numFmtId="0" fontId="0" fillId="13" borderId="0" xfId="0" applyFill="1" applyAlignment="1">
      <alignment horizontal="center" vertical="top"/>
    </xf>
    <xf numFmtId="0" fontId="0" fillId="13" borderId="2" xfId="0" applyFill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 vertical="top"/>
    </xf>
    <xf numFmtId="0" fontId="0" fillId="14" borderId="2" xfId="0" applyFill="1" applyBorder="1" applyAlignment="1">
      <alignment horizontal="center" vertical="top"/>
    </xf>
    <xf numFmtId="0" fontId="0" fillId="14" borderId="5" xfId="0" applyFill="1" applyBorder="1" applyAlignment="1">
      <alignment horizontal="center" vertical="top"/>
    </xf>
    <xf numFmtId="0" fontId="0" fillId="8" borderId="4" xfId="0" applyFill="1" applyBorder="1" applyAlignment="1">
      <alignment horizontal="center" vertical="top"/>
    </xf>
    <xf numFmtId="0" fontId="0" fillId="8" borderId="6" xfId="0" applyFill="1" applyBorder="1" applyAlignment="1">
      <alignment horizontal="center" vertical="top"/>
    </xf>
    <xf numFmtId="0" fontId="0" fillId="12" borderId="1" xfId="0" applyFill="1" applyBorder="1" applyAlignment="1">
      <alignment horizontal="center" vertical="top"/>
    </xf>
    <xf numFmtId="0" fontId="0" fillId="12" borderId="2" xfId="0" applyFill="1" applyBorder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15" borderId="7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top"/>
    </xf>
    <xf numFmtId="0" fontId="0" fillId="7" borderId="4" xfId="0" applyFill="1" applyBorder="1" applyAlignment="1">
      <alignment horizontal="center" vertical="top"/>
    </xf>
    <xf numFmtId="0" fontId="0" fillId="6" borderId="4" xfId="0" applyFill="1" applyBorder="1" applyAlignment="1">
      <alignment horizontal="center" vertical="top"/>
    </xf>
    <xf numFmtId="0" fontId="0" fillId="3" borderId="4" xfId="0" applyFill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9" borderId="4" xfId="0" applyFill="1" applyBorder="1" applyAlignment="1">
      <alignment horizontal="center" vertical="top"/>
    </xf>
    <xf numFmtId="0" fontId="0" fillId="14" borderId="4" xfId="0" applyFill="1" applyBorder="1" applyAlignment="1">
      <alignment horizontal="center" vertical="top"/>
    </xf>
    <xf numFmtId="0" fontId="0" fillId="2" borderId="6" xfId="0" applyFill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6" xfId="0" applyBorder="1" applyAlignment="1">
      <alignment horizontal="center" vertical="top"/>
    </xf>
    <xf numFmtId="0" fontId="0" fillId="0" borderId="7" xfId="0" applyBorder="1"/>
    <xf numFmtId="0" fontId="0" fillId="3" borderId="7" xfId="0" applyFill="1" applyBorder="1" applyAlignment="1">
      <alignment horizontal="center" vertical="top"/>
    </xf>
    <xf numFmtId="0" fontId="0" fillId="7" borderId="7" xfId="0" applyFill="1" applyBorder="1" applyAlignment="1">
      <alignment horizontal="center" vertical="top"/>
    </xf>
    <xf numFmtId="0" fontId="0" fillId="16" borderId="0" xfId="0" applyFill="1" applyAlignment="1">
      <alignment horizontal="center" vertical="top"/>
    </xf>
    <xf numFmtId="0" fontId="0" fillId="4" borderId="7" xfId="0" applyFill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0" fontId="0" fillId="17" borderId="0" xfId="0" applyFill="1" applyAlignment="1">
      <alignment horizontal="center" vertical="top"/>
    </xf>
    <xf numFmtId="0" fontId="0" fillId="17" borderId="2" xfId="0" applyFill="1" applyBorder="1" applyAlignment="1">
      <alignment horizontal="center" vertical="top"/>
    </xf>
    <xf numFmtId="0" fontId="0" fillId="17" borderId="4" xfId="0" applyFill="1" applyBorder="1" applyAlignment="1">
      <alignment horizontal="center" vertical="top"/>
    </xf>
    <xf numFmtId="0" fontId="0" fillId="3" borderId="7" xfId="0" applyFill="1" applyBorder="1" applyAlignment="1">
      <alignment horizontal="center" vertical="center"/>
    </xf>
    <xf numFmtId="0" fontId="0" fillId="18" borderId="7" xfId="0" applyFill="1" applyBorder="1" applyAlignment="1">
      <alignment horizontal="center" vertical="top"/>
    </xf>
    <xf numFmtId="0" fontId="0" fillId="16" borderId="7" xfId="0" applyFill="1" applyBorder="1" applyAlignment="1">
      <alignment horizontal="center" vertical="top"/>
    </xf>
    <xf numFmtId="0" fontId="0" fillId="19" borderId="7" xfId="0" applyFill="1" applyBorder="1" applyAlignment="1">
      <alignment horizontal="center" vertical="top"/>
    </xf>
    <xf numFmtId="0" fontId="0" fillId="17" borderId="1" xfId="0" applyFill="1" applyBorder="1" applyAlignment="1">
      <alignment horizontal="center" vertical="top"/>
    </xf>
    <xf numFmtId="0" fontId="4" fillId="20" borderId="8" xfId="0" applyFont="1" applyFill="1" applyBorder="1" applyAlignment="1">
      <alignment horizontal="center" vertical="center"/>
    </xf>
    <xf numFmtId="0" fontId="4" fillId="20" borderId="9" xfId="0" applyFont="1" applyFill="1" applyBorder="1" applyAlignment="1">
      <alignment horizontal="center" vertical="center"/>
    </xf>
    <xf numFmtId="0" fontId="4" fillId="20" borderId="11" xfId="0" applyFont="1" applyFill="1" applyBorder="1" applyAlignment="1">
      <alignment horizontal="center" vertical="center"/>
    </xf>
    <xf numFmtId="0" fontId="4" fillId="20" borderId="12" xfId="0" applyFont="1" applyFill="1" applyBorder="1" applyAlignment="1">
      <alignment horizontal="center" vertical="center"/>
    </xf>
    <xf numFmtId="0" fontId="0" fillId="21" borderId="0" xfId="0" applyFill="1"/>
    <xf numFmtId="0" fontId="0" fillId="22" borderId="0" xfId="0" applyFill="1" applyAlignment="1">
      <alignment horizontal="center" vertical="top"/>
    </xf>
    <xf numFmtId="0" fontId="0" fillId="22" borderId="7" xfId="0" applyFill="1" applyBorder="1" applyAlignment="1">
      <alignment horizontal="center" vertical="top"/>
    </xf>
    <xf numFmtId="0" fontId="0" fillId="23" borderId="0" xfId="0" applyFill="1" applyAlignment="1">
      <alignment horizontal="center" vertical="top"/>
    </xf>
    <xf numFmtId="0" fontId="0" fillId="3" borderId="7" xfId="0" applyFill="1" applyBorder="1" applyAlignment="1">
      <alignment horizontal="center"/>
    </xf>
    <xf numFmtId="0" fontId="0" fillId="22" borderId="4" xfId="0" applyFill="1" applyBorder="1" applyAlignment="1">
      <alignment horizontal="center" vertical="top"/>
    </xf>
    <xf numFmtId="0" fontId="0" fillId="16" borderId="4" xfId="0" applyFill="1" applyBorder="1" applyAlignment="1">
      <alignment horizontal="center" vertical="top"/>
    </xf>
    <xf numFmtId="0" fontId="0" fillId="0" borderId="7" xfId="0" applyBorder="1" applyAlignment="1">
      <alignment horizontal="center"/>
    </xf>
    <xf numFmtId="0" fontId="0" fillId="16" borderId="0" xfId="0" applyFill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6" borderId="0" xfId="0" applyFill="1"/>
    <xf numFmtId="0" fontId="0" fillId="3" borderId="0" xfId="0" applyFill="1"/>
    <xf numFmtId="0" fontId="0" fillId="22" borderId="0" xfId="0" applyFill="1"/>
    <xf numFmtId="0" fontId="5" fillId="22" borderId="0" xfId="0" applyFont="1" applyFill="1"/>
    <xf numFmtId="0" fontId="2" fillId="11" borderId="6" xfId="0" applyFont="1" applyFill="1" applyBorder="1" applyAlignment="1">
      <alignment horizontal="center" vertical="top"/>
    </xf>
    <xf numFmtId="0" fontId="0" fillId="0" borderId="4" xfId="0" applyBorder="1"/>
    <xf numFmtId="0" fontId="0" fillId="0" borderId="5" xfId="0" applyBorder="1"/>
    <xf numFmtId="0" fontId="0" fillId="2" borderId="6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7"/>
  <sheetViews>
    <sheetView workbookViewId="0">
      <selection activeCell="O1" sqref="O1"/>
    </sheetView>
  </sheetViews>
  <sheetFormatPr defaultColWidth="9.140625" defaultRowHeight="15" x14ac:dyDescent="0.25"/>
  <cols>
    <col min="1" max="1" width="9.140625" style="4" customWidth="1"/>
    <col min="2" max="2" width="23.140625" style="11" customWidth="1"/>
    <col min="3" max="3" width="7.85546875" style="5" customWidth="1"/>
    <col min="4" max="4" width="5.7109375" style="4" customWidth="1"/>
    <col min="5" max="5" width="8.28515625" style="6" customWidth="1"/>
    <col min="6" max="6" width="7.85546875" style="5" customWidth="1"/>
    <col min="7" max="7" width="5.7109375" style="4" customWidth="1"/>
    <col min="8" max="8" width="8.28515625" style="6" customWidth="1"/>
    <col min="9" max="9" width="7.85546875" style="5" customWidth="1"/>
    <col min="10" max="10" width="5.7109375" style="4" customWidth="1"/>
    <col min="11" max="11" width="8.28515625" style="6" customWidth="1"/>
    <col min="12" max="12" width="7.85546875" style="5" customWidth="1"/>
    <col min="13" max="13" width="5.7109375" style="4" customWidth="1"/>
    <col min="14" max="14" width="8.28515625" style="6" customWidth="1"/>
    <col min="15" max="15" width="7.85546875" style="5" customWidth="1"/>
    <col min="16" max="16" width="5.7109375" style="4" customWidth="1"/>
    <col min="17" max="17" width="8.28515625" style="6" customWidth="1"/>
    <col min="18" max="18" width="7.85546875" style="5" customWidth="1"/>
    <col min="19" max="19" width="5.7109375" style="4" customWidth="1"/>
    <col min="20" max="20" width="8.28515625" style="6" customWidth="1"/>
    <col min="21" max="21" width="7.85546875" style="5" customWidth="1"/>
    <col min="22" max="22" width="5.7109375" style="4" customWidth="1"/>
    <col min="23" max="23" width="8.28515625" style="6" customWidth="1"/>
    <col min="24" max="24" width="7.85546875" style="5" customWidth="1"/>
    <col min="25" max="25" width="5.7109375" style="4" customWidth="1"/>
    <col min="26" max="26" width="8.28515625" style="6" customWidth="1"/>
    <col min="27" max="27" width="7.85546875" style="5" customWidth="1"/>
    <col min="28" max="28" width="5.7109375" style="4" customWidth="1"/>
    <col min="29" max="29" width="8.28515625" style="6" customWidth="1"/>
    <col min="30" max="36" width="9.140625" style="4" customWidth="1"/>
    <col min="37" max="16384" width="9.140625" style="4"/>
  </cols>
  <sheetData>
    <row r="1" spans="1:35" s="2" customFormat="1" ht="15.75" customHeight="1" thickBot="1" x14ac:dyDescent="0.3">
      <c r="B1" s="10" t="s">
        <v>138</v>
      </c>
      <c r="C1" s="1" t="s">
        <v>139</v>
      </c>
      <c r="D1" s="2" t="s">
        <v>140</v>
      </c>
      <c r="E1" s="3" t="s">
        <v>141</v>
      </c>
      <c r="F1" s="1" t="s">
        <v>139</v>
      </c>
      <c r="G1" s="2" t="s">
        <v>140</v>
      </c>
      <c r="H1" s="3" t="s">
        <v>141</v>
      </c>
      <c r="I1" s="1" t="s">
        <v>139</v>
      </c>
      <c r="J1" s="2" t="s">
        <v>140</v>
      </c>
      <c r="K1" s="3" t="s">
        <v>141</v>
      </c>
      <c r="L1" s="1" t="s">
        <v>139</v>
      </c>
      <c r="M1" s="2" t="s">
        <v>140</v>
      </c>
      <c r="N1" s="3" t="s">
        <v>141</v>
      </c>
      <c r="O1" s="1" t="s">
        <v>139</v>
      </c>
      <c r="P1" s="2" t="s">
        <v>140</v>
      </c>
      <c r="Q1" s="3" t="s">
        <v>141</v>
      </c>
      <c r="R1" s="1" t="s">
        <v>139</v>
      </c>
      <c r="S1" s="2" t="s">
        <v>140</v>
      </c>
      <c r="T1" s="3" t="s">
        <v>141</v>
      </c>
      <c r="U1" s="1" t="s">
        <v>139</v>
      </c>
      <c r="V1" s="2" t="s">
        <v>140</v>
      </c>
      <c r="W1" s="3" t="s">
        <v>141</v>
      </c>
      <c r="X1" s="1" t="s">
        <v>139</v>
      </c>
      <c r="Y1" s="2" t="s">
        <v>140</v>
      </c>
      <c r="Z1" s="3" t="s">
        <v>141</v>
      </c>
      <c r="AA1" s="1" t="s">
        <v>139</v>
      </c>
      <c r="AB1" s="2" t="s">
        <v>140</v>
      </c>
      <c r="AC1" s="3" t="s">
        <v>141</v>
      </c>
      <c r="AD1" s="23"/>
      <c r="AE1" s="23"/>
      <c r="AF1" s="23"/>
      <c r="AG1" s="23"/>
      <c r="AH1" s="23"/>
      <c r="AI1" s="23"/>
    </row>
    <row r="2" spans="1:35" ht="15.75" customHeight="1" thickBot="1" x14ac:dyDescent="0.3">
      <c r="A2" s="4">
        <v>16</v>
      </c>
      <c r="B2" s="27" t="s">
        <v>142</v>
      </c>
      <c r="C2" s="5">
        <v>0</v>
      </c>
      <c r="D2" s="4">
        <v>-4</v>
      </c>
      <c r="E2" s="6">
        <v>3</v>
      </c>
      <c r="F2" s="7"/>
      <c r="G2" s="8"/>
      <c r="H2" s="9"/>
      <c r="I2" s="5">
        <v>0</v>
      </c>
      <c r="J2" s="4">
        <v>0</v>
      </c>
      <c r="K2" s="6">
        <v>2</v>
      </c>
      <c r="L2" s="7"/>
      <c r="M2" s="8"/>
      <c r="N2" s="9"/>
      <c r="O2" s="7"/>
      <c r="P2" s="8"/>
      <c r="Q2" s="9"/>
      <c r="R2" s="7"/>
      <c r="S2" s="8"/>
      <c r="T2" s="9"/>
      <c r="U2" s="7"/>
      <c r="V2" s="8"/>
      <c r="W2" s="9"/>
      <c r="X2" s="7"/>
      <c r="Y2" s="8"/>
      <c r="Z2" s="9"/>
      <c r="AA2" s="7"/>
      <c r="AB2" s="8"/>
      <c r="AC2" s="9"/>
      <c r="AD2" s="23"/>
      <c r="AE2" s="23"/>
      <c r="AF2" s="23"/>
      <c r="AG2" s="23"/>
      <c r="AH2" s="23"/>
      <c r="AI2" s="23"/>
    </row>
    <row r="3" spans="1:35" ht="15.75" customHeight="1" thickBot="1" x14ac:dyDescent="0.3">
      <c r="A3" s="4">
        <v>15</v>
      </c>
      <c r="B3" s="27" t="s">
        <v>143</v>
      </c>
      <c r="C3" s="7"/>
      <c r="D3" s="8"/>
      <c r="E3" s="9"/>
      <c r="F3" s="5">
        <v>0</v>
      </c>
      <c r="G3" s="4">
        <v>2</v>
      </c>
      <c r="H3" s="6">
        <v>2</v>
      </c>
      <c r="I3" s="7"/>
      <c r="J3" s="8"/>
      <c r="K3" s="9"/>
      <c r="L3" s="7"/>
      <c r="M3" s="8"/>
      <c r="N3" s="9"/>
      <c r="O3" s="7"/>
      <c r="P3" s="8"/>
      <c r="Q3" s="9"/>
      <c r="R3" s="7"/>
      <c r="S3" s="8"/>
      <c r="T3" s="9"/>
      <c r="U3" s="7"/>
      <c r="V3" s="8"/>
      <c r="W3" s="9"/>
      <c r="X3" s="7"/>
      <c r="Y3" s="8"/>
      <c r="Z3" s="9"/>
      <c r="AA3" s="7"/>
      <c r="AB3" s="8"/>
      <c r="AC3" s="9"/>
      <c r="AD3" s="23"/>
      <c r="AE3" s="23"/>
      <c r="AF3" s="23"/>
      <c r="AG3" s="23"/>
      <c r="AH3" s="23"/>
      <c r="AI3" s="23"/>
    </row>
    <row r="4" spans="1:35" ht="15.75" customHeight="1" thickBot="1" x14ac:dyDescent="0.3">
      <c r="A4" s="4">
        <v>15</v>
      </c>
      <c r="B4" s="33" t="s">
        <v>98</v>
      </c>
      <c r="C4" s="5">
        <v>0</v>
      </c>
      <c r="D4" s="4">
        <v>-3</v>
      </c>
      <c r="E4" s="6">
        <v>3</v>
      </c>
      <c r="F4" s="5">
        <v>0</v>
      </c>
      <c r="G4" s="4">
        <v>0</v>
      </c>
      <c r="H4" s="6">
        <v>3</v>
      </c>
      <c r="I4" s="5">
        <v>0</v>
      </c>
      <c r="J4" s="4">
        <v>2</v>
      </c>
      <c r="K4" s="6">
        <v>2</v>
      </c>
      <c r="AD4" s="23"/>
      <c r="AE4" s="23"/>
      <c r="AF4" s="23"/>
      <c r="AG4" s="23"/>
      <c r="AH4" s="23"/>
      <c r="AI4" s="23"/>
    </row>
    <row r="5" spans="1:35" ht="15.75" customHeight="1" thickBot="1" x14ac:dyDescent="0.3">
      <c r="A5" s="4">
        <v>13</v>
      </c>
      <c r="B5" s="11" t="s">
        <v>144</v>
      </c>
      <c r="C5" s="5">
        <v>-1</v>
      </c>
      <c r="D5" s="4">
        <v>-2</v>
      </c>
      <c r="E5" s="6">
        <v>3</v>
      </c>
      <c r="F5" s="16">
        <v>-3</v>
      </c>
      <c r="G5" s="4">
        <v>2</v>
      </c>
      <c r="H5" s="6">
        <v>2</v>
      </c>
      <c r="I5" s="5">
        <v>-2</v>
      </c>
      <c r="J5" s="4">
        <v>2</v>
      </c>
      <c r="K5" s="6">
        <v>1</v>
      </c>
      <c r="AD5" s="23"/>
      <c r="AE5" s="23"/>
      <c r="AF5" s="23"/>
      <c r="AG5" s="23"/>
      <c r="AH5" s="23"/>
      <c r="AI5" s="23"/>
    </row>
    <row r="6" spans="1:35" ht="15.75" customHeight="1" thickBot="1" x14ac:dyDescent="0.3">
      <c r="A6" s="4">
        <v>12</v>
      </c>
      <c r="B6" s="25" t="s">
        <v>145</v>
      </c>
      <c r="C6" s="5">
        <v>2</v>
      </c>
      <c r="D6" s="4">
        <v>0</v>
      </c>
      <c r="E6" s="6">
        <v>2</v>
      </c>
      <c r="F6" s="5">
        <v>0</v>
      </c>
      <c r="G6" s="4">
        <v>3</v>
      </c>
      <c r="H6" s="6">
        <v>1</v>
      </c>
      <c r="I6" s="21">
        <v>-14</v>
      </c>
      <c r="J6" s="20">
        <v>0</v>
      </c>
      <c r="K6" s="22">
        <v>3</v>
      </c>
      <c r="L6" s="34"/>
      <c r="M6" s="35"/>
      <c r="N6" s="24"/>
      <c r="O6" s="34"/>
      <c r="P6" s="35"/>
      <c r="Q6" s="24"/>
      <c r="R6" s="34"/>
      <c r="S6" s="35"/>
      <c r="T6" s="24"/>
      <c r="U6" s="34"/>
      <c r="V6" s="35"/>
      <c r="W6" s="24"/>
      <c r="X6" s="34"/>
      <c r="Y6" s="35"/>
      <c r="Z6" s="24"/>
      <c r="AA6" s="34"/>
      <c r="AB6" s="35"/>
      <c r="AC6" s="24"/>
      <c r="AD6" s="23"/>
      <c r="AE6" s="23"/>
      <c r="AF6" s="23"/>
      <c r="AG6" s="23"/>
      <c r="AH6" s="23"/>
      <c r="AI6" s="23"/>
    </row>
    <row r="7" spans="1:35" ht="15.75" customHeight="1" thickBot="1" x14ac:dyDescent="0.3">
      <c r="A7" s="15" t="s">
        <v>146</v>
      </c>
      <c r="B7" s="33" t="s">
        <v>120</v>
      </c>
      <c r="C7" s="5">
        <v>2</v>
      </c>
      <c r="D7" s="4">
        <v>-1</v>
      </c>
      <c r="E7" s="6">
        <v>3</v>
      </c>
      <c r="F7" s="5">
        <v>0</v>
      </c>
      <c r="G7" s="4">
        <v>3</v>
      </c>
      <c r="H7" s="6">
        <v>2</v>
      </c>
      <c r="I7" s="5">
        <v>-18</v>
      </c>
      <c r="J7" s="4">
        <v>0</v>
      </c>
      <c r="K7" s="6">
        <v>2</v>
      </c>
      <c r="AD7" s="23"/>
      <c r="AE7" s="23"/>
      <c r="AF7" s="23"/>
      <c r="AG7" s="23"/>
      <c r="AH7" s="23"/>
      <c r="AI7" s="23"/>
    </row>
    <row r="8" spans="1:35" ht="15.75" customHeight="1" thickBot="1" x14ac:dyDescent="0.3">
      <c r="A8" s="4">
        <v>12</v>
      </c>
      <c r="B8" s="33" t="s">
        <v>147</v>
      </c>
      <c r="C8" s="5">
        <v>0</v>
      </c>
      <c r="D8" s="4">
        <v>-1</v>
      </c>
      <c r="E8" s="6">
        <v>3</v>
      </c>
      <c r="F8" s="16">
        <v>-2</v>
      </c>
      <c r="G8" s="4">
        <v>2</v>
      </c>
      <c r="H8" s="6">
        <v>2</v>
      </c>
      <c r="I8" s="5">
        <v>-2</v>
      </c>
      <c r="J8" s="4">
        <v>3</v>
      </c>
      <c r="K8" s="6">
        <v>1</v>
      </c>
      <c r="AD8" s="23"/>
      <c r="AE8" s="23"/>
      <c r="AF8" s="23"/>
      <c r="AG8" s="23"/>
      <c r="AH8" s="23"/>
      <c r="AI8" s="23"/>
    </row>
    <row r="9" spans="1:35" ht="15.75" customHeight="1" thickBot="1" x14ac:dyDescent="0.3">
      <c r="A9" s="4">
        <v>12</v>
      </c>
      <c r="B9" s="11" t="s">
        <v>148</v>
      </c>
      <c r="C9" s="5">
        <v>0</v>
      </c>
      <c r="D9" s="4">
        <v>-1</v>
      </c>
      <c r="E9" s="6">
        <v>3</v>
      </c>
      <c r="F9" s="5">
        <v>0</v>
      </c>
      <c r="G9" s="4">
        <v>2</v>
      </c>
      <c r="H9" s="6">
        <v>0</v>
      </c>
      <c r="I9" s="5">
        <v>-7</v>
      </c>
      <c r="J9" s="4">
        <v>1</v>
      </c>
      <c r="K9" s="6">
        <v>2</v>
      </c>
      <c r="AD9" s="23"/>
      <c r="AE9" s="23"/>
      <c r="AF9" s="23"/>
      <c r="AG9" s="23"/>
      <c r="AH9" s="23"/>
      <c r="AI9" s="23"/>
    </row>
    <row r="10" spans="1:35" ht="15.75" customHeight="1" thickBot="1" x14ac:dyDescent="0.3">
      <c r="A10" s="4">
        <v>12</v>
      </c>
      <c r="B10" s="26" t="s">
        <v>110</v>
      </c>
      <c r="C10" s="5">
        <v>0</v>
      </c>
      <c r="D10" s="4">
        <v>-1</v>
      </c>
      <c r="E10" s="6">
        <v>3</v>
      </c>
      <c r="F10" s="21">
        <v>-17</v>
      </c>
      <c r="G10" s="4">
        <v>0</v>
      </c>
      <c r="H10" s="6">
        <v>3</v>
      </c>
      <c r="I10" s="5">
        <v>-1</v>
      </c>
      <c r="J10" s="4">
        <v>1</v>
      </c>
      <c r="K10" s="6">
        <v>3</v>
      </c>
      <c r="AD10" s="23"/>
      <c r="AE10" s="23"/>
      <c r="AF10" s="23"/>
      <c r="AG10" s="23"/>
      <c r="AH10" s="23"/>
      <c r="AI10" s="23"/>
    </row>
    <row r="11" spans="1:35" ht="15.75" customHeight="1" thickBot="1" x14ac:dyDescent="0.3">
      <c r="A11" s="4">
        <v>12</v>
      </c>
      <c r="B11" s="11" t="s">
        <v>149</v>
      </c>
      <c r="C11" s="5">
        <v>0</v>
      </c>
      <c r="D11" s="4">
        <v>-1</v>
      </c>
      <c r="E11" s="6">
        <v>3</v>
      </c>
      <c r="F11" s="4">
        <v>-2</v>
      </c>
      <c r="G11" s="4">
        <v>2</v>
      </c>
      <c r="H11" s="4">
        <v>1</v>
      </c>
      <c r="I11" s="5">
        <v>0</v>
      </c>
      <c r="J11" s="4">
        <v>2</v>
      </c>
      <c r="K11" s="6">
        <v>1</v>
      </c>
      <c r="AD11" s="23"/>
      <c r="AE11" s="23"/>
      <c r="AF11" s="23"/>
      <c r="AG11" s="23"/>
      <c r="AH11" s="23"/>
      <c r="AI11" s="23"/>
    </row>
    <row r="12" spans="1:35" ht="15.75" customHeight="1" thickBot="1" x14ac:dyDescent="0.3">
      <c r="A12" s="4" t="s">
        <v>150</v>
      </c>
      <c r="B12" s="11" t="s">
        <v>107</v>
      </c>
      <c r="C12" s="5">
        <v>0</v>
      </c>
      <c r="D12" s="4">
        <v>-1</v>
      </c>
      <c r="E12" s="6">
        <v>3</v>
      </c>
      <c r="F12" s="16">
        <v>-2</v>
      </c>
      <c r="G12" s="4">
        <v>3</v>
      </c>
      <c r="H12" s="6">
        <v>1</v>
      </c>
      <c r="I12" s="5">
        <v>-3</v>
      </c>
      <c r="J12" s="4">
        <v>1</v>
      </c>
      <c r="K12" s="6">
        <v>2</v>
      </c>
      <c r="AD12" s="23"/>
      <c r="AE12" s="23"/>
      <c r="AF12" s="23"/>
      <c r="AG12" s="23"/>
      <c r="AH12" s="23"/>
      <c r="AI12" s="23"/>
    </row>
    <row r="13" spans="1:35" ht="15.75" customHeight="1" thickBot="1" x14ac:dyDescent="0.3">
      <c r="A13" s="4">
        <v>12</v>
      </c>
      <c r="B13" s="25" t="s">
        <v>151</v>
      </c>
      <c r="C13" s="5">
        <v>0</v>
      </c>
      <c r="D13" s="4">
        <v>-1</v>
      </c>
      <c r="E13" s="6">
        <v>3</v>
      </c>
      <c r="F13" s="16">
        <v>-12</v>
      </c>
      <c r="G13" s="4">
        <v>0</v>
      </c>
      <c r="H13" s="6">
        <v>3</v>
      </c>
      <c r="I13" s="5">
        <v>-11</v>
      </c>
      <c r="J13" s="4">
        <v>0</v>
      </c>
      <c r="K13" s="19">
        <v>2</v>
      </c>
      <c r="AD13" s="23"/>
      <c r="AE13" s="23"/>
      <c r="AF13" s="23"/>
      <c r="AG13" s="23"/>
      <c r="AH13" s="23"/>
      <c r="AI13" s="23"/>
    </row>
    <row r="14" spans="1:35" ht="15.75" customHeight="1" thickBot="1" x14ac:dyDescent="0.3">
      <c r="A14" s="4">
        <v>11</v>
      </c>
      <c r="B14" s="11" t="s">
        <v>152</v>
      </c>
      <c r="C14" s="5">
        <v>0</v>
      </c>
      <c r="D14" s="4">
        <v>0</v>
      </c>
      <c r="E14" s="6">
        <v>2</v>
      </c>
      <c r="F14" s="5">
        <v>-11</v>
      </c>
      <c r="G14" s="4">
        <v>0</v>
      </c>
      <c r="H14" s="6">
        <v>3</v>
      </c>
      <c r="I14" s="4">
        <v>1</v>
      </c>
      <c r="J14" s="4">
        <v>2</v>
      </c>
      <c r="K14" s="4">
        <v>1</v>
      </c>
      <c r="AD14" s="23"/>
      <c r="AE14" s="23"/>
      <c r="AF14" s="23"/>
      <c r="AG14" s="23"/>
      <c r="AH14" s="23"/>
      <c r="AI14" s="23"/>
    </row>
    <row r="15" spans="1:35" ht="15.75" customHeight="1" thickBot="1" x14ac:dyDescent="0.3">
      <c r="A15" s="4">
        <v>12</v>
      </c>
      <c r="B15" s="26" t="s">
        <v>153</v>
      </c>
      <c r="C15" s="12"/>
      <c r="D15" s="13"/>
      <c r="E15" s="14"/>
      <c r="F15" s="5">
        <v>0</v>
      </c>
      <c r="G15" s="4">
        <v>3</v>
      </c>
      <c r="H15" s="6">
        <v>0</v>
      </c>
      <c r="I15" s="20">
        <v>-11</v>
      </c>
      <c r="J15" s="20">
        <v>-1</v>
      </c>
      <c r="K15" s="20">
        <v>3</v>
      </c>
      <c r="L15" s="21"/>
      <c r="M15" s="20"/>
      <c r="N15" s="22"/>
      <c r="O15" s="21"/>
      <c r="P15" s="20"/>
      <c r="Q15" s="22"/>
      <c r="R15" s="21"/>
      <c r="S15" s="20"/>
      <c r="T15" s="22"/>
      <c r="U15" s="21"/>
      <c r="V15" s="20"/>
      <c r="W15" s="22"/>
      <c r="X15" s="21"/>
      <c r="Y15" s="20"/>
      <c r="Z15" s="22"/>
      <c r="AA15" s="21"/>
      <c r="AB15" s="20"/>
      <c r="AC15" s="22"/>
      <c r="AD15" s="23"/>
      <c r="AE15" s="23"/>
      <c r="AF15" s="23"/>
      <c r="AG15" s="23"/>
      <c r="AH15" s="23"/>
      <c r="AI15" s="23"/>
    </row>
    <row r="16" spans="1:35" ht="15.75" customHeight="1" thickBot="1" x14ac:dyDescent="0.3">
      <c r="A16" s="4">
        <v>11</v>
      </c>
      <c r="B16" s="11" t="s">
        <v>154</v>
      </c>
      <c r="C16" s="5">
        <v>0</v>
      </c>
      <c r="D16" s="4">
        <v>0</v>
      </c>
      <c r="E16" s="6">
        <v>2</v>
      </c>
      <c r="F16" s="5">
        <v>-1</v>
      </c>
      <c r="G16" s="4">
        <v>1</v>
      </c>
      <c r="H16" s="6">
        <v>1</v>
      </c>
      <c r="I16" s="5">
        <v>-3</v>
      </c>
      <c r="J16" s="4">
        <v>1</v>
      </c>
      <c r="K16" s="6">
        <v>1</v>
      </c>
      <c r="AD16" s="23"/>
      <c r="AE16" s="23"/>
      <c r="AF16" s="23"/>
      <c r="AG16" s="23"/>
      <c r="AH16" s="23"/>
      <c r="AI16" s="23"/>
    </row>
    <row r="17" spans="1:35" ht="15.75" customHeight="1" thickBot="1" x14ac:dyDescent="0.3">
      <c r="A17" s="4">
        <v>11</v>
      </c>
      <c r="B17" s="26" t="s">
        <v>155</v>
      </c>
      <c r="C17" s="12"/>
      <c r="D17" s="13"/>
      <c r="E17" s="14"/>
      <c r="F17" s="12"/>
      <c r="G17" s="13"/>
      <c r="H17" s="14"/>
      <c r="I17" s="21">
        <v>-11</v>
      </c>
      <c r="J17" s="20">
        <v>0</v>
      </c>
      <c r="K17" s="22">
        <v>3</v>
      </c>
      <c r="L17" s="21"/>
      <c r="M17" s="20"/>
      <c r="N17" s="22"/>
      <c r="O17" s="21"/>
      <c r="P17" s="20"/>
      <c r="Q17" s="22"/>
      <c r="R17" s="21"/>
      <c r="S17" s="20"/>
      <c r="T17" s="22"/>
      <c r="U17" s="21"/>
      <c r="V17" s="20"/>
      <c r="W17" s="22"/>
      <c r="X17" s="21"/>
      <c r="Y17" s="20"/>
      <c r="Z17" s="22"/>
      <c r="AA17" s="21"/>
      <c r="AB17" s="20"/>
      <c r="AC17" s="22"/>
      <c r="AD17" s="23"/>
      <c r="AE17" s="23"/>
      <c r="AF17" s="23"/>
      <c r="AG17" s="23"/>
      <c r="AH17" s="23"/>
      <c r="AI17" s="23"/>
    </row>
    <row r="18" spans="1:35" ht="15.75" customHeight="1" thickBot="1" x14ac:dyDescent="0.3">
      <c r="A18" s="4">
        <v>11</v>
      </c>
      <c r="B18" s="11" t="s">
        <v>156</v>
      </c>
      <c r="C18" s="5">
        <v>0</v>
      </c>
      <c r="D18" s="4">
        <v>0</v>
      </c>
      <c r="E18" s="6">
        <v>3</v>
      </c>
      <c r="F18" s="16">
        <v>-6</v>
      </c>
      <c r="G18" s="4">
        <v>2</v>
      </c>
      <c r="H18" s="6">
        <v>1</v>
      </c>
      <c r="I18" s="5">
        <v>0</v>
      </c>
      <c r="J18" s="4">
        <v>2</v>
      </c>
      <c r="K18" s="6">
        <v>1</v>
      </c>
      <c r="AD18" s="23"/>
      <c r="AE18" s="23"/>
      <c r="AF18" s="23"/>
      <c r="AG18" s="23"/>
      <c r="AH18" s="23"/>
      <c r="AI18" s="23"/>
    </row>
    <row r="19" spans="1:35" ht="15.75" customHeight="1" thickBot="1" x14ac:dyDescent="0.3">
      <c r="A19" s="4">
        <v>11</v>
      </c>
      <c r="B19" s="11" t="s">
        <v>157</v>
      </c>
      <c r="C19" s="12"/>
      <c r="D19" s="13"/>
      <c r="E19" s="14"/>
      <c r="F19" s="12"/>
      <c r="G19" s="13"/>
      <c r="H19" s="14"/>
      <c r="I19" s="12"/>
      <c r="J19" s="13"/>
      <c r="K19" s="14"/>
      <c r="L19" s="12"/>
      <c r="M19" s="13"/>
      <c r="N19" s="14"/>
      <c r="O19" s="12"/>
      <c r="P19" s="13"/>
      <c r="Q19" s="14"/>
      <c r="R19" s="12"/>
      <c r="S19" s="13"/>
      <c r="T19" s="14"/>
      <c r="U19" s="12"/>
      <c r="V19" s="13"/>
      <c r="W19" s="14"/>
      <c r="X19" s="12"/>
      <c r="Y19" s="13"/>
      <c r="Z19" s="14"/>
      <c r="AA19" s="12"/>
      <c r="AB19" s="13"/>
      <c r="AC19" s="14"/>
      <c r="AD19" s="23"/>
      <c r="AE19" s="23"/>
      <c r="AF19" s="23"/>
      <c r="AG19" s="23"/>
      <c r="AH19" s="23"/>
      <c r="AI19" s="23"/>
    </row>
    <row r="20" spans="1:35" ht="15.75" customHeight="1" thickBot="1" x14ac:dyDescent="0.3">
      <c r="A20" s="4">
        <v>11</v>
      </c>
      <c r="B20" s="27" t="s">
        <v>158</v>
      </c>
      <c r="C20" s="5">
        <v>0</v>
      </c>
      <c r="D20" s="4">
        <v>0</v>
      </c>
      <c r="E20" s="6">
        <v>2</v>
      </c>
      <c r="F20" s="7"/>
      <c r="G20" s="8"/>
      <c r="H20" s="9"/>
      <c r="I20" s="7"/>
      <c r="J20" s="8"/>
      <c r="K20" s="9"/>
      <c r="L20" s="7"/>
      <c r="M20" s="8"/>
      <c r="N20" s="9"/>
      <c r="O20" s="7"/>
      <c r="P20" s="8"/>
      <c r="Q20" s="9"/>
      <c r="R20" s="7"/>
      <c r="S20" s="8"/>
      <c r="T20" s="9"/>
      <c r="U20" s="7"/>
      <c r="V20" s="8"/>
      <c r="W20" s="9"/>
      <c r="X20" s="7"/>
      <c r="Y20" s="8"/>
      <c r="Z20" s="9"/>
      <c r="AA20" s="7"/>
      <c r="AB20" s="8"/>
      <c r="AC20" s="9"/>
      <c r="AD20" s="23"/>
      <c r="AE20" s="23"/>
      <c r="AF20" s="23"/>
      <c r="AG20" s="23"/>
      <c r="AH20" s="23"/>
      <c r="AI20" s="23"/>
    </row>
    <row r="21" spans="1:35" ht="15.75" customHeight="1" thickBot="1" x14ac:dyDescent="0.3">
      <c r="A21" s="4">
        <v>11</v>
      </c>
      <c r="B21" s="27" t="s">
        <v>159</v>
      </c>
      <c r="C21" s="5">
        <v>0</v>
      </c>
      <c r="D21" s="4">
        <v>0</v>
      </c>
      <c r="E21" s="6">
        <v>3</v>
      </c>
      <c r="F21" s="5">
        <v>0</v>
      </c>
      <c r="G21" s="4">
        <v>3</v>
      </c>
      <c r="H21" s="6">
        <v>1</v>
      </c>
      <c r="I21" s="7"/>
      <c r="J21" s="8"/>
      <c r="K21" s="9"/>
      <c r="L21" s="7"/>
      <c r="M21" s="8"/>
      <c r="N21" s="9"/>
      <c r="O21" s="7"/>
      <c r="P21" s="8"/>
      <c r="Q21" s="9"/>
      <c r="R21" s="7"/>
      <c r="S21" s="8"/>
      <c r="T21" s="9"/>
      <c r="U21" s="7"/>
      <c r="V21" s="8"/>
      <c r="W21" s="9"/>
      <c r="X21" s="7"/>
      <c r="Y21" s="8"/>
      <c r="Z21" s="9"/>
      <c r="AA21" s="7"/>
      <c r="AB21" s="8"/>
      <c r="AC21" s="9"/>
      <c r="AD21" s="23"/>
      <c r="AE21" s="23"/>
      <c r="AF21" s="23"/>
      <c r="AG21" s="23"/>
      <c r="AH21" s="23"/>
      <c r="AI21" s="23"/>
    </row>
    <row r="22" spans="1:35" ht="15.75" customHeight="1" thickBot="1" x14ac:dyDescent="0.3">
      <c r="A22" s="4">
        <v>11</v>
      </c>
      <c r="B22" s="11" t="s">
        <v>160</v>
      </c>
      <c r="C22" s="5">
        <v>0</v>
      </c>
      <c r="D22" s="4">
        <v>0</v>
      </c>
      <c r="E22" s="6">
        <v>3</v>
      </c>
      <c r="F22" s="5">
        <v>-8</v>
      </c>
      <c r="G22" s="4">
        <v>0</v>
      </c>
      <c r="H22" s="6">
        <v>3</v>
      </c>
      <c r="I22" s="5">
        <v>0</v>
      </c>
      <c r="J22" s="4">
        <v>2</v>
      </c>
      <c r="K22" s="6">
        <v>1</v>
      </c>
      <c r="AD22" s="23"/>
      <c r="AE22" s="23"/>
      <c r="AF22" s="23"/>
      <c r="AG22" s="23"/>
      <c r="AH22" s="23"/>
      <c r="AI22" s="23"/>
    </row>
    <row r="23" spans="1:35" ht="15.75" customHeight="1" thickBot="1" x14ac:dyDescent="0.3">
      <c r="A23" s="4">
        <v>11</v>
      </c>
      <c r="B23" s="33" t="s">
        <v>161</v>
      </c>
      <c r="C23" s="5">
        <v>0</v>
      </c>
      <c r="D23" s="4">
        <v>0</v>
      </c>
      <c r="E23" s="6">
        <v>3</v>
      </c>
      <c r="F23" s="5">
        <v>0</v>
      </c>
      <c r="G23" s="4">
        <v>3</v>
      </c>
      <c r="H23" s="6">
        <v>2</v>
      </c>
      <c r="I23" s="5">
        <v>0</v>
      </c>
      <c r="J23" s="4">
        <v>2</v>
      </c>
      <c r="K23" s="6">
        <v>2</v>
      </c>
      <c r="AD23" s="23"/>
      <c r="AE23" s="23"/>
      <c r="AF23" s="23"/>
      <c r="AG23" s="23"/>
      <c r="AH23" s="23"/>
      <c r="AI23" s="23"/>
    </row>
    <row r="24" spans="1:35" ht="15.75" customHeight="1" thickBot="1" x14ac:dyDescent="0.3">
      <c r="A24" s="4">
        <v>11</v>
      </c>
      <c r="B24" s="11" t="s">
        <v>162</v>
      </c>
      <c r="C24" s="5">
        <v>0</v>
      </c>
      <c r="D24" s="4">
        <v>0</v>
      </c>
      <c r="E24" s="6">
        <v>3</v>
      </c>
      <c r="F24" s="5">
        <v>0</v>
      </c>
      <c r="G24" s="4">
        <v>3</v>
      </c>
      <c r="H24" s="6">
        <v>1</v>
      </c>
      <c r="I24" s="5">
        <v>0</v>
      </c>
      <c r="J24" s="4">
        <v>2</v>
      </c>
      <c r="K24" s="6">
        <v>1</v>
      </c>
      <c r="AD24" s="23"/>
      <c r="AE24" s="23"/>
      <c r="AF24" s="23"/>
      <c r="AG24" s="23"/>
      <c r="AH24" s="23"/>
      <c r="AI24" s="23"/>
    </row>
    <row r="25" spans="1:35" ht="15.75" customHeight="1" thickBot="1" x14ac:dyDescent="0.3">
      <c r="A25" s="4">
        <v>11</v>
      </c>
      <c r="B25" s="25" t="s">
        <v>163</v>
      </c>
      <c r="C25" s="5">
        <v>-3</v>
      </c>
      <c r="D25" s="4">
        <v>0</v>
      </c>
      <c r="E25" s="6">
        <v>3</v>
      </c>
      <c r="F25" s="5">
        <v>0</v>
      </c>
      <c r="G25" s="4">
        <v>1</v>
      </c>
      <c r="H25" s="6">
        <v>1</v>
      </c>
      <c r="I25" s="5">
        <v>0</v>
      </c>
      <c r="J25" s="4">
        <v>0</v>
      </c>
      <c r="K25" s="24">
        <v>1</v>
      </c>
      <c r="AD25" s="23"/>
      <c r="AE25" s="23"/>
      <c r="AF25" s="23"/>
      <c r="AG25" s="23"/>
      <c r="AH25" s="23"/>
      <c r="AI25" s="23"/>
    </row>
    <row r="26" spans="1:35" ht="15.75" customHeight="1" thickBot="1" x14ac:dyDescent="0.3">
      <c r="A26" s="4">
        <v>11</v>
      </c>
      <c r="B26" s="26" t="s">
        <v>164</v>
      </c>
      <c r="C26" s="5">
        <v>0</v>
      </c>
      <c r="D26" s="4">
        <v>0</v>
      </c>
      <c r="E26" s="6">
        <v>3</v>
      </c>
      <c r="F26" s="5">
        <v>4</v>
      </c>
      <c r="G26" s="4">
        <v>3</v>
      </c>
      <c r="H26" s="6">
        <v>2</v>
      </c>
      <c r="I26" s="21"/>
      <c r="J26" s="20"/>
      <c r="K26" s="22"/>
      <c r="L26" s="21"/>
      <c r="M26" s="20"/>
      <c r="N26" s="22"/>
      <c r="O26" s="21"/>
      <c r="P26" s="20"/>
      <c r="Q26" s="22"/>
      <c r="R26" s="21"/>
      <c r="S26" s="20"/>
      <c r="T26" s="22"/>
      <c r="U26" s="21"/>
      <c r="V26" s="20"/>
      <c r="W26" s="22"/>
      <c r="X26" s="21"/>
      <c r="Y26" s="20"/>
      <c r="Z26" s="22"/>
      <c r="AA26" s="21"/>
      <c r="AB26" s="20"/>
      <c r="AC26" s="22"/>
      <c r="AD26" s="23"/>
      <c r="AE26" s="23"/>
      <c r="AF26" s="23"/>
      <c r="AG26" s="23"/>
      <c r="AH26" s="23"/>
      <c r="AI26" s="23"/>
    </row>
    <row r="27" spans="1:35" ht="15.75" customHeight="1" thickBot="1" x14ac:dyDescent="0.3">
      <c r="A27" s="4">
        <v>11</v>
      </c>
      <c r="B27" s="11" t="s">
        <v>165</v>
      </c>
      <c r="C27" s="5">
        <v>0</v>
      </c>
      <c r="D27" s="4">
        <v>1</v>
      </c>
      <c r="E27" s="6">
        <v>2</v>
      </c>
      <c r="F27" s="5">
        <v>0</v>
      </c>
      <c r="G27" s="4">
        <v>3</v>
      </c>
      <c r="H27" s="6">
        <v>3</v>
      </c>
      <c r="I27" s="5">
        <v>0</v>
      </c>
      <c r="J27" s="4">
        <v>-1</v>
      </c>
      <c r="K27" s="6">
        <v>3</v>
      </c>
      <c r="AD27" s="23"/>
      <c r="AE27" s="23"/>
      <c r="AF27" s="23"/>
      <c r="AG27" s="23"/>
      <c r="AH27" s="23"/>
      <c r="AI27" s="23"/>
    </row>
    <row r="28" spans="1:35" ht="15.75" customHeight="1" thickBot="1" x14ac:dyDescent="0.3">
      <c r="A28" s="4">
        <v>11</v>
      </c>
      <c r="B28" s="25" t="s">
        <v>166</v>
      </c>
      <c r="C28" s="5">
        <v>0</v>
      </c>
      <c r="D28" s="4">
        <v>0</v>
      </c>
      <c r="E28" s="6">
        <v>3</v>
      </c>
      <c r="F28" s="5">
        <v>1</v>
      </c>
      <c r="G28" s="4">
        <v>1</v>
      </c>
      <c r="H28" s="6">
        <v>2</v>
      </c>
      <c r="I28" s="5">
        <v>1</v>
      </c>
      <c r="J28" s="4">
        <v>0</v>
      </c>
      <c r="K28" s="24">
        <v>2</v>
      </c>
      <c r="AD28" s="23"/>
      <c r="AE28" s="23"/>
      <c r="AF28" s="23"/>
      <c r="AG28" s="23"/>
      <c r="AH28" s="23"/>
      <c r="AI28" s="23"/>
    </row>
    <row r="29" spans="1:35" ht="15.75" customHeight="1" thickBot="1" x14ac:dyDescent="0.3">
      <c r="A29" s="4">
        <v>11</v>
      </c>
      <c r="B29" s="33" t="s">
        <v>167</v>
      </c>
      <c r="C29" s="5">
        <v>3</v>
      </c>
      <c r="D29" s="4">
        <v>0</v>
      </c>
      <c r="E29" s="6">
        <v>3</v>
      </c>
      <c r="F29" s="5">
        <v>12</v>
      </c>
      <c r="G29" s="4">
        <v>2</v>
      </c>
      <c r="H29" s="6">
        <v>1</v>
      </c>
      <c r="I29" s="5">
        <v>0</v>
      </c>
      <c r="J29" s="4">
        <v>-1</v>
      </c>
      <c r="K29" s="6">
        <v>3</v>
      </c>
      <c r="AD29" s="23"/>
      <c r="AE29" s="23"/>
      <c r="AF29" s="23"/>
      <c r="AG29" s="23"/>
      <c r="AH29" s="23"/>
      <c r="AI29" s="23"/>
    </row>
    <row r="30" spans="1:35" ht="15.75" customHeight="1" thickBot="1" x14ac:dyDescent="0.3">
      <c r="A30" s="4">
        <v>11</v>
      </c>
      <c r="B30" s="11" t="s">
        <v>168</v>
      </c>
      <c r="C30" s="5">
        <v>0</v>
      </c>
      <c r="D30" s="4">
        <v>0</v>
      </c>
      <c r="E30" s="6">
        <v>3</v>
      </c>
      <c r="F30" s="5">
        <v>0</v>
      </c>
      <c r="G30" s="4">
        <v>-2</v>
      </c>
      <c r="H30" s="6">
        <v>3</v>
      </c>
      <c r="I30" s="5">
        <v>0</v>
      </c>
      <c r="J30" s="4">
        <v>-1</v>
      </c>
      <c r="K30" s="6">
        <v>3</v>
      </c>
      <c r="AD30" s="23"/>
      <c r="AE30" s="23"/>
      <c r="AF30" s="23"/>
      <c r="AG30" s="23"/>
      <c r="AH30" s="23"/>
      <c r="AI30" s="23"/>
    </row>
    <row r="31" spans="1:35" ht="15.75" customHeight="1" thickBot="1" x14ac:dyDescent="0.3">
      <c r="A31" s="4" t="s">
        <v>169</v>
      </c>
      <c r="B31" s="11" t="s">
        <v>170</v>
      </c>
      <c r="C31" s="5">
        <v>0</v>
      </c>
      <c r="D31" s="4">
        <v>0</v>
      </c>
      <c r="E31" s="6">
        <v>3</v>
      </c>
      <c r="F31" s="17">
        <v>0</v>
      </c>
      <c r="G31" s="4">
        <v>-1</v>
      </c>
      <c r="H31" s="6">
        <v>3</v>
      </c>
      <c r="I31" s="5">
        <v>0</v>
      </c>
      <c r="J31" s="4">
        <v>-1</v>
      </c>
      <c r="K31" s="6">
        <v>3</v>
      </c>
      <c r="AD31" s="23"/>
      <c r="AE31" s="23"/>
      <c r="AF31" s="23"/>
      <c r="AG31" s="23"/>
      <c r="AH31" s="23"/>
      <c r="AI31" s="23"/>
    </row>
    <row r="32" spans="1:35" ht="15.75" customHeight="1" thickBot="1" x14ac:dyDescent="0.3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</row>
    <row r="33" spans="1:35" ht="15.75" customHeight="1" thickBot="1" x14ac:dyDescent="0.3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</row>
    <row r="34" spans="1:35" ht="15.75" customHeight="1" thickBot="1" x14ac:dyDescent="0.3">
      <c r="A34" s="29"/>
      <c r="B34" s="28" t="s">
        <v>171</v>
      </c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</row>
    <row r="35" spans="1:35" ht="15.75" customHeight="1" thickBot="1" x14ac:dyDescent="0.3">
      <c r="A35" s="30"/>
      <c r="B35" s="28" t="s">
        <v>172</v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</row>
    <row r="36" spans="1:35" ht="15.75" customHeight="1" thickBot="1" x14ac:dyDescent="0.3">
      <c r="A36" s="18"/>
      <c r="B36" s="28" t="s">
        <v>173</v>
      </c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</row>
    <row r="37" spans="1:35" ht="15.75" customHeight="1" thickBot="1" x14ac:dyDescent="0.3">
      <c r="A37" s="31"/>
      <c r="B37" s="28" t="s">
        <v>174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</row>
    <row r="38" spans="1:35" ht="15.75" customHeight="1" thickBot="1" x14ac:dyDescent="0.3">
      <c r="A38" s="32"/>
      <c r="B38" s="28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</row>
    <row r="39" spans="1:35" ht="15.75" customHeight="1" thickBot="1" x14ac:dyDescent="0.3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</row>
    <row r="40" spans="1:35" ht="15.75" customHeight="1" thickBot="1" x14ac:dyDescent="0.3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</row>
    <row r="41" spans="1:35" ht="15.75" customHeight="1" thickBot="1" x14ac:dyDescent="0.3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1:35" ht="15.75" customHeight="1" thickBot="1" x14ac:dyDescent="0.3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</row>
    <row r="43" spans="1:35" ht="15.75" customHeight="1" thickBot="1" x14ac:dyDescent="0.3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</row>
    <row r="44" spans="1:35" ht="15.75" customHeight="1" thickBot="1" x14ac:dyDescent="0.3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</row>
    <row r="45" spans="1:35" ht="15.75" customHeight="1" thickBot="1" x14ac:dyDescent="0.3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</row>
    <row r="46" spans="1:35" ht="15.75" customHeight="1" thickBot="1" x14ac:dyDescent="0.3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</row>
    <row r="47" spans="1:35" ht="15.75" customHeight="1" thickBot="1" x14ac:dyDescent="0.3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3"/>
  <sheetViews>
    <sheetView workbookViewId="0">
      <selection activeCell="W43" sqref="A33:W43"/>
    </sheetView>
  </sheetViews>
  <sheetFormatPr defaultColWidth="9.140625" defaultRowHeight="15" outlineLevelRow="1" outlineLevelCol="1" x14ac:dyDescent="0.25"/>
  <cols>
    <col min="1" max="1" width="9.140625" style="39" customWidth="1"/>
    <col min="2" max="2" width="22" style="39" customWidth="1"/>
    <col min="3" max="20" width="9.140625" style="39" customWidth="1" outlineLevel="1"/>
    <col min="21" max="21" width="9.140625" style="40" customWidth="1"/>
    <col min="22" max="22" width="9.140625" style="39" customWidth="1"/>
    <col min="23" max="23" width="9.140625" style="41" customWidth="1"/>
    <col min="24" max="30" width="9.140625" style="39" customWidth="1"/>
    <col min="31" max="16384" width="9.140625" style="39"/>
  </cols>
  <sheetData>
    <row r="1" spans="1:23" ht="15.75" customHeight="1" thickBot="1" x14ac:dyDescent="0.3">
      <c r="B1" s="61"/>
      <c r="C1" s="126">
        <v>1</v>
      </c>
      <c r="D1" s="127"/>
      <c r="E1" s="128"/>
      <c r="F1" s="126">
        <v>2</v>
      </c>
      <c r="G1" s="127"/>
      <c r="H1" s="128"/>
      <c r="I1" s="126">
        <v>3</v>
      </c>
      <c r="J1" s="127"/>
      <c r="K1" s="128"/>
      <c r="L1" s="126">
        <v>4</v>
      </c>
      <c r="M1" s="127"/>
      <c r="N1" s="128"/>
      <c r="O1" s="126">
        <v>5</v>
      </c>
      <c r="P1" s="127"/>
      <c r="Q1" s="128"/>
      <c r="R1" s="126">
        <v>6</v>
      </c>
      <c r="S1" s="127"/>
      <c r="T1" s="128"/>
      <c r="U1" s="126">
        <v>7</v>
      </c>
      <c r="V1" s="127"/>
      <c r="W1" s="128"/>
    </row>
    <row r="2" spans="1:23" ht="15.75" customHeight="1" thickBot="1" x14ac:dyDescent="0.3">
      <c r="A2" s="36"/>
      <c r="B2" s="37" t="s">
        <v>138</v>
      </c>
      <c r="C2" s="37" t="s">
        <v>139</v>
      </c>
      <c r="D2" s="36" t="s">
        <v>140</v>
      </c>
      <c r="E2" s="38" t="s">
        <v>141</v>
      </c>
      <c r="F2" s="37" t="s">
        <v>139</v>
      </c>
      <c r="G2" s="36" t="s">
        <v>140</v>
      </c>
      <c r="H2" s="38" t="s">
        <v>141</v>
      </c>
      <c r="I2" s="37" t="s">
        <v>139</v>
      </c>
      <c r="J2" s="36" t="s">
        <v>140</v>
      </c>
      <c r="K2" s="38" t="s">
        <v>141</v>
      </c>
      <c r="L2" s="37" t="s">
        <v>139</v>
      </c>
      <c r="M2" s="36" t="s">
        <v>140</v>
      </c>
      <c r="N2" s="38" t="s">
        <v>141</v>
      </c>
      <c r="O2" s="37" t="s">
        <v>139</v>
      </c>
      <c r="P2" s="36" t="s">
        <v>140</v>
      </c>
      <c r="Q2" s="38" t="s">
        <v>141</v>
      </c>
      <c r="R2" s="37" t="s">
        <v>139</v>
      </c>
      <c r="S2" s="36" t="s">
        <v>140</v>
      </c>
      <c r="T2" s="36" t="s">
        <v>141</v>
      </c>
      <c r="U2" s="37" t="s">
        <v>139</v>
      </c>
      <c r="V2" s="36" t="s">
        <v>140</v>
      </c>
      <c r="W2" s="38" t="s">
        <v>141</v>
      </c>
    </row>
    <row r="3" spans="1:23" x14ac:dyDescent="0.25">
      <c r="A3" s="39">
        <v>16</v>
      </c>
      <c r="B3" s="39" t="s">
        <v>142</v>
      </c>
      <c r="C3" s="40"/>
      <c r="D3" s="39">
        <f>avv!A1-A3</f>
        <v>-1</v>
      </c>
      <c r="E3" s="54">
        <v>3</v>
      </c>
      <c r="F3" s="40"/>
      <c r="G3" s="39">
        <f>avv!B1-A3</f>
        <v>2</v>
      </c>
      <c r="H3" s="41">
        <v>3</v>
      </c>
      <c r="I3" s="40"/>
      <c r="J3" s="39">
        <f>avv!C1-A3</f>
        <v>2</v>
      </c>
      <c r="K3" s="41">
        <v>2</v>
      </c>
      <c r="L3" s="40"/>
      <c r="M3" s="39">
        <f>avv!D1-A3</f>
        <v>1</v>
      </c>
      <c r="N3" s="41">
        <v>3</v>
      </c>
      <c r="O3" s="40"/>
      <c r="P3" s="39">
        <f>avv!E1-A3</f>
        <v>1</v>
      </c>
      <c r="Q3" s="41">
        <v>3</v>
      </c>
      <c r="R3" s="40"/>
      <c r="S3" s="39">
        <f>avv!F1-A3</f>
        <v>0</v>
      </c>
      <c r="T3" s="39">
        <v>3</v>
      </c>
      <c r="V3" s="39">
        <f>avv!G1-A3</f>
        <v>-1</v>
      </c>
      <c r="W3" s="41">
        <v>3</v>
      </c>
    </row>
    <row r="4" spans="1:23" x14ac:dyDescent="0.25">
      <c r="A4" s="39">
        <v>15</v>
      </c>
      <c r="B4" s="55" t="s">
        <v>175</v>
      </c>
      <c r="C4" s="40"/>
      <c r="D4" s="39">
        <f>avv!A2-A4</f>
        <v>0</v>
      </c>
      <c r="E4" s="54">
        <v>3</v>
      </c>
      <c r="F4" s="40"/>
      <c r="G4" s="39">
        <f>avv!B2-A4</f>
        <v>1</v>
      </c>
      <c r="H4" s="41">
        <v>2</v>
      </c>
      <c r="I4" s="40"/>
      <c r="K4" s="64"/>
      <c r="L4" s="40"/>
      <c r="M4" s="55"/>
      <c r="N4" s="41"/>
      <c r="O4" s="40"/>
      <c r="P4" s="39">
        <f>avv!E2-A4</f>
        <v>2</v>
      </c>
      <c r="Q4" s="41">
        <v>2</v>
      </c>
      <c r="R4" s="40"/>
      <c r="S4" s="39">
        <f>avv!F2-A4</f>
        <v>1</v>
      </c>
      <c r="T4" s="39">
        <v>2</v>
      </c>
      <c r="V4" s="39">
        <f>avv!G2-A4</f>
        <v>0</v>
      </c>
      <c r="W4" s="41">
        <v>2</v>
      </c>
    </row>
    <row r="5" spans="1:23" x14ac:dyDescent="0.25">
      <c r="A5" s="39">
        <v>15</v>
      </c>
      <c r="B5" s="55" t="s">
        <v>98</v>
      </c>
      <c r="C5" s="40"/>
      <c r="D5" s="39">
        <f>avv!A3-A5</f>
        <v>0</v>
      </c>
      <c r="E5" s="54">
        <v>3</v>
      </c>
      <c r="F5" s="40"/>
      <c r="G5" s="39">
        <f>avv!B3-A5</f>
        <v>0</v>
      </c>
      <c r="H5" s="41">
        <v>3</v>
      </c>
      <c r="I5" s="40"/>
      <c r="K5" s="64"/>
      <c r="L5" s="40"/>
      <c r="M5" s="39">
        <f>avv!D3-A5</f>
        <v>0</v>
      </c>
      <c r="N5" s="41">
        <v>3</v>
      </c>
      <c r="O5" s="40"/>
      <c r="P5" s="39">
        <f>avv!E4-A5</f>
        <v>0</v>
      </c>
      <c r="Q5" s="41">
        <v>3</v>
      </c>
      <c r="R5" s="40"/>
      <c r="S5" s="39">
        <f>avv!F3-A5</f>
        <v>0</v>
      </c>
      <c r="T5" s="39">
        <v>1</v>
      </c>
      <c r="V5" s="39">
        <f>avv!G3-A5</f>
        <v>-1</v>
      </c>
      <c r="W5" s="41">
        <v>3</v>
      </c>
    </row>
    <row r="6" spans="1:23" x14ac:dyDescent="0.25">
      <c r="A6" s="39">
        <v>13</v>
      </c>
      <c r="B6" s="55" t="s">
        <v>176</v>
      </c>
      <c r="C6" s="53"/>
      <c r="D6" s="39">
        <f>avv!A4-A6</f>
        <v>2</v>
      </c>
      <c r="E6" s="54">
        <v>3</v>
      </c>
      <c r="F6" s="40"/>
      <c r="G6" s="55"/>
      <c r="H6" s="41"/>
      <c r="I6" s="40"/>
      <c r="J6" s="39">
        <f>avv!C4-A6</f>
        <v>4</v>
      </c>
      <c r="K6" s="41">
        <v>1</v>
      </c>
      <c r="L6" s="40"/>
      <c r="M6" s="39">
        <f>avv!D4-A6</f>
        <v>2</v>
      </c>
      <c r="N6" s="41">
        <v>1</v>
      </c>
      <c r="O6" s="40"/>
      <c r="P6" s="55"/>
      <c r="Q6" s="41"/>
      <c r="R6" s="40"/>
      <c r="S6" s="39">
        <f>avv!F4-A6</f>
        <v>2</v>
      </c>
      <c r="T6" s="39">
        <v>0</v>
      </c>
      <c r="V6" s="39">
        <f>avv!G4-A6</f>
        <v>1</v>
      </c>
      <c r="W6" s="41">
        <v>0</v>
      </c>
    </row>
    <row r="7" spans="1:23" x14ac:dyDescent="0.25">
      <c r="A7" s="39">
        <v>13</v>
      </c>
      <c r="B7" s="39" t="s">
        <v>120</v>
      </c>
      <c r="C7" s="40"/>
      <c r="D7" s="39">
        <f>avv!A7-A7</f>
        <v>1</v>
      </c>
      <c r="E7" s="54">
        <v>3</v>
      </c>
      <c r="F7" s="40"/>
      <c r="G7" s="39">
        <f>avv!B10-A7</f>
        <v>1</v>
      </c>
      <c r="H7" s="41">
        <v>3</v>
      </c>
      <c r="I7" s="53"/>
      <c r="J7" s="39">
        <f>avv!C7-A7</f>
        <v>2</v>
      </c>
      <c r="K7" s="41">
        <v>3</v>
      </c>
      <c r="L7" s="40"/>
      <c r="M7" s="39">
        <f>avv!D5-A7</f>
        <v>2</v>
      </c>
      <c r="N7" s="41">
        <v>3</v>
      </c>
      <c r="O7" s="40"/>
      <c r="P7" s="39">
        <f>avv!E5-A7</f>
        <v>2</v>
      </c>
      <c r="Q7" s="41">
        <v>3</v>
      </c>
      <c r="R7" s="40"/>
      <c r="S7" s="39">
        <f>avv!F22-A7</f>
        <v>-1</v>
      </c>
      <c r="T7" s="39">
        <v>3</v>
      </c>
      <c r="V7" s="39">
        <f>avv!G5-A7</f>
        <v>1</v>
      </c>
      <c r="W7" s="41">
        <v>3</v>
      </c>
    </row>
    <row r="8" spans="1:23" x14ac:dyDescent="0.25">
      <c r="A8" s="39">
        <v>13</v>
      </c>
      <c r="B8" s="50" t="s">
        <v>144</v>
      </c>
      <c r="C8" s="51">
        <v>-6</v>
      </c>
      <c r="D8" s="39">
        <f>avv!A12-A8</f>
        <v>-2</v>
      </c>
      <c r="E8" s="54">
        <v>3</v>
      </c>
      <c r="F8" s="40"/>
      <c r="G8" s="39">
        <f>avv!B7-A8</f>
        <v>2</v>
      </c>
      <c r="H8" s="41">
        <v>2</v>
      </c>
      <c r="I8" s="40"/>
      <c r="J8" s="39">
        <f>avv!C5-A8</f>
        <v>2</v>
      </c>
      <c r="K8" s="41">
        <v>1</v>
      </c>
      <c r="L8" s="40"/>
      <c r="M8" s="39">
        <f>avv!D6-A8</f>
        <v>2</v>
      </c>
      <c r="N8" s="41">
        <v>2</v>
      </c>
      <c r="O8" s="40"/>
      <c r="P8" s="39">
        <f>avv!E6-A8</f>
        <v>0</v>
      </c>
      <c r="Q8" s="41">
        <v>2</v>
      </c>
      <c r="R8" s="40"/>
      <c r="S8" s="39">
        <f>avv!F6-A8</f>
        <v>2</v>
      </c>
      <c r="T8" s="39">
        <v>1</v>
      </c>
      <c r="V8" s="39">
        <f>avv!G6-A8</f>
        <v>0</v>
      </c>
      <c r="W8" s="41">
        <v>1</v>
      </c>
    </row>
    <row r="9" spans="1:23" x14ac:dyDescent="0.25">
      <c r="A9" s="39">
        <v>13</v>
      </c>
      <c r="B9" s="55" t="s">
        <v>145</v>
      </c>
      <c r="C9" s="65"/>
      <c r="D9" s="66"/>
      <c r="E9" s="67"/>
      <c r="F9" s="65"/>
      <c r="G9" s="66"/>
      <c r="H9" s="67"/>
      <c r="I9" s="65"/>
      <c r="J9" s="66"/>
      <c r="K9" s="67"/>
      <c r="L9" s="40"/>
      <c r="M9" s="55"/>
      <c r="N9" s="41"/>
      <c r="O9" s="40"/>
      <c r="P9" s="55"/>
      <c r="Q9" s="41"/>
      <c r="R9" s="40"/>
      <c r="S9" s="55">
        <f>avv!F7-A9</f>
        <v>2</v>
      </c>
      <c r="V9" s="39">
        <f>avv!G7-A9</f>
        <v>0</v>
      </c>
    </row>
    <row r="10" spans="1:23" x14ac:dyDescent="0.25">
      <c r="A10" s="39">
        <v>13</v>
      </c>
      <c r="B10" s="39" t="s">
        <v>148</v>
      </c>
      <c r="C10" s="40"/>
      <c r="D10" s="39">
        <f>avv!A8-A10</f>
        <v>0</v>
      </c>
      <c r="E10" s="54">
        <v>2</v>
      </c>
      <c r="F10" s="40"/>
      <c r="G10" s="39">
        <f>avv!B8-A10</f>
        <v>2</v>
      </c>
      <c r="H10" s="41">
        <v>1</v>
      </c>
      <c r="I10" s="53"/>
      <c r="J10" s="39">
        <f>avv!C8-A10</f>
        <v>1</v>
      </c>
      <c r="K10" s="41">
        <v>3</v>
      </c>
      <c r="L10" s="40"/>
      <c r="M10" s="39">
        <f>avv!D8-A10</f>
        <v>2</v>
      </c>
      <c r="N10" s="41">
        <v>2</v>
      </c>
      <c r="O10" s="40"/>
      <c r="P10" s="39">
        <f>avv!E10-A10</f>
        <v>-1</v>
      </c>
      <c r="Q10" s="41">
        <v>3</v>
      </c>
      <c r="R10" s="40"/>
      <c r="S10" s="39">
        <f>avv!F8-A10</f>
        <v>2</v>
      </c>
      <c r="T10" s="39">
        <v>2</v>
      </c>
      <c r="V10" s="39">
        <f>avv!G8-A10</f>
        <v>0</v>
      </c>
      <c r="W10" s="41">
        <v>2</v>
      </c>
    </row>
    <row r="11" spans="1:23" x14ac:dyDescent="0.25">
      <c r="A11" s="39">
        <v>13</v>
      </c>
      <c r="B11" s="69" t="s">
        <v>147</v>
      </c>
      <c r="C11" s="40"/>
      <c r="D11" s="39">
        <f>avv!A9-A11</f>
        <v>-1</v>
      </c>
      <c r="E11" s="54">
        <v>3</v>
      </c>
      <c r="G11" s="39">
        <f>avv!B9-A11</f>
        <v>1</v>
      </c>
      <c r="H11" s="39">
        <v>2</v>
      </c>
      <c r="I11" s="40"/>
      <c r="J11" s="39">
        <f>avv!C9-A11</f>
        <v>1</v>
      </c>
      <c r="K11" s="41">
        <v>2</v>
      </c>
      <c r="L11" s="40"/>
      <c r="M11" s="39">
        <f>avv!D9-A11</f>
        <v>1</v>
      </c>
      <c r="N11" s="70">
        <v>1</v>
      </c>
      <c r="O11" s="40"/>
      <c r="P11" s="39">
        <f>avv!E9-A11</f>
        <v>-1</v>
      </c>
      <c r="Q11" s="41">
        <v>3</v>
      </c>
      <c r="R11" s="40"/>
      <c r="S11" s="39">
        <f>avv!F9-A11</f>
        <v>2</v>
      </c>
      <c r="T11" s="39">
        <v>2</v>
      </c>
      <c r="V11" s="39">
        <f>avv!G9-A11</f>
        <v>0</v>
      </c>
      <c r="W11" s="41">
        <v>3</v>
      </c>
    </row>
    <row r="12" spans="1:23" x14ac:dyDescent="0.25">
      <c r="A12" s="39">
        <v>13</v>
      </c>
      <c r="B12" s="55" t="s">
        <v>152</v>
      </c>
      <c r="C12" s="40"/>
      <c r="D12" s="39">
        <f>avv!A10-A12</f>
        <v>-1</v>
      </c>
      <c r="E12" s="52">
        <v>2</v>
      </c>
      <c r="F12" s="40"/>
      <c r="G12" s="55"/>
      <c r="H12" s="41"/>
      <c r="I12" s="40"/>
      <c r="K12" s="64"/>
      <c r="L12" s="40"/>
      <c r="M12" s="39">
        <f>avv!D28-A12</f>
        <v>-1</v>
      </c>
      <c r="N12" s="41">
        <v>3</v>
      </c>
      <c r="O12" s="40"/>
      <c r="P12" s="39">
        <f>avv!E10-A12</f>
        <v>-1</v>
      </c>
      <c r="Q12" s="41">
        <v>2</v>
      </c>
      <c r="R12" s="40"/>
      <c r="S12" s="39">
        <f>avv!F24-A12</f>
        <v>-1</v>
      </c>
      <c r="T12" s="39">
        <v>3</v>
      </c>
      <c r="V12" s="39">
        <f>avv!G10-A12</f>
        <v>0</v>
      </c>
    </row>
    <row r="13" spans="1:23" x14ac:dyDescent="0.25">
      <c r="A13" s="39">
        <v>12</v>
      </c>
      <c r="B13" s="69" t="s">
        <v>149</v>
      </c>
      <c r="C13" s="40"/>
      <c r="D13" s="39">
        <f>avv!A20-A13</f>
        <v>-2</v>
      </c>
      <c r="E13" s="54">
        <v>3</v>
      </c>
      <c r="F13" s="40"/>
      <c r="G13" s="39">
        <f>avv!B11-A13</f>
        <v>1</v>
      </c>
      <c r="H13" s="41">
        <v>2</v>
      </c>
      <c r="I13" s="40"/>
      <c r="J13" s="39">
        <f>avv!C11-A13</f>
        <v>1</v>
      </c>
      <c r="K13" s="70">
        <v>1</v>
      </c>
      <c r="L13" s="40"/>
      <c r="M13" s="39">
        <f>avv!D11-A13</f>
        <v>2</v>
      </c>
      <c r="N13" s="41">
        <v>2</v>
      </c>
      <c r="O13" s="40"/>
      <c r="P13" s="39">
        <f>avv!E12-A13</f>
        <v>0</v>
      </c>
      <c r="Q13" s="41">
        <v>3</v>
      </c>
      <c r="R13" s="40"/>
      <c r="S13" s="39">
        <f>avv!F11-A13</f>
        <v>2</v>
      </c>
      <c r="T13" s="39">
        <v>2</v>
      </c>
      <c r="V13" s="39">
        <f>avv!G11-A13</f>
        <v>1</v>
      </c>
      <c r="W13" s="41">
        <v>2</v>
      </c>
    </row>
    <row r="14" spans="1:23" x14ac:dyDescent="0.25">
      <c r="A14" s="39">
        <v>12</v>
      </c>
      <c r="B14" s="62" t="s">
        <v>151</v>
      </c>
      <c r="C14" s="40"/>
      <c r="D14" s="39">
        <f>avv!A6-A14</f>
        <v>2</v>
      </c>
      <c r="E14" s="54">
        <v>2</v>
      </c>
      <c r="F14" s="40"/>
      <c r="G14" s="39">
        <f>avv!B12-A14</f>
        <v>1</v>
      </c>
      <c r="H14" s="41">
        <v>2</v>
      </c>
      <c r="I14" s="53"/>
      <c r="J14" s="39">
        <f>avv!C12-A14</f>
        <v>1</v>
      </c>
      <c r="K14" s="41">
        <v>3</v>
      </c>
      <c r="L14" s="40"/>
      <c r="M14" s="39">
        <f>avv!D12-A14</f>
        <v>2</v>
      </c>
      <c r="N14" s="41">
        <v>2</v>
      </c>
      <c r="O14" s="40"/>
      <c r="P14" s="39">
        <f>avv!E13-A14</f>
        <v>0</v>
      </c>
      <c r="Q14" s="41">
        <v>3</v>
      </c>
      <c r="R14" s="40"/>
      <c r="S14" s="39">
        <f>avv!F12-A14</f>
        <v>2</v>
      </c>
      <c r="T14" s="39">
        <v>2</v>
      </c>
      <c r="V14" s="39">
        <f>avv!G12-A14</f>
        <v>1</v>
      </c>
      <c r="W14" s="41">
        <v>3</v>
      </c>
    </row>
    <row r="15" spans="1:23" x14ac:dyDescent="0.25">
      <c r="A15" s="39">
        <v>12</v>
      </c>
      <c r="B15" s="62" t="s">
        <v>110</v>
      </c>
      <c r="C15" s="40"/>
      <c r="D15" s="39">
        <f>avv!A13-A15</f>
        <v>-1</v>
      </c>
      <c r="E15" s="54">
        <v>3</v>
      </c>
      <c r="F15" s="53"/>
      <c r="G15" s="39">
        <f>avv!B13-A15</f>
        <v>1</v>
      </c>
      <c r="H15" s="41">
        <v>3</v>
      </c>
      <c r="I15" s="40"/>
      <c r="J15" s="39">
        <f>avv!C13-A15</f>
        <v>1</v>
      </c>
      <c r="K15" s="41">
        <v>2</v>
      </c>
      <c r="L15" s="40"/>
      <c r="M15" s="39">
        <f>avv!D13-A15</f>
        <v>2</v>
      </c>
      <c r="N15" s="41">
        <v>2</v>
      </c>
      <c r="O15" s="40"/>
      <c r="P15" s="39">
        <f>avv!E17-A15</f>
        <v>0</v>
      </c>
      <c r="Q15" s="41">
        <v>3</v>
      </c>
      <c r="R15" s="40"/>
      <c r="S15" s="39">
        <f>avv!F13-A15</f>
        <v>1</v>
      </c>
      <c r="T15" s="39">
        <v>1</v>
      </c>
      <c r="V15" s="39">
        <f>avv!G13-A15</f>
        <v>1</v>
      </c>
      <c r="W15" s="41">
        <v>2</v>
      </c>
    </row>
    <row r="16" spans="1:23" x14ac:dyDescent="0.25">
      <c r="A16" s="39">
        <v>13</v>
      </c>
      <c r="B16" s="60" t="s">
        <v>154</v>
      </c>
      <c r="C16" s="40"/>
      <c r="D16" s="39">
        <f>avv!A15-A16</f>
        <v>-2</v>
      </c>
      <c r="E16" s="54">
        <v>3</v>
      </c>
      <c r="F16" s="40"/>
      <c r="G16" s="39">
        <f>avv!B14-A16</f>
        <v>0</v>
      </c>
      <c r="H16" s="41">
        <v>3</v>
      </c>
      <c r="I16" s="40"/>
      <c r="J16" s="39">
        <f>avv!C15-A16</f>
        <v>0</v>
      </c>
      <c r="K16" s="52">
        <v>1</v>
      </c>
      <c r="L16" s="40"/>
      <c r="M16" s="39">
        <f>avv!D14-A16</f>
        <v>1</v>
      </c>
      <c r="N16" s="41">
        <v>1</v>
      </c>
      <c r="O16" s="40"/>
      <c r="P16" s="39">
        <f>avv!E14-A16</f>
        <v>-1</v>
      </c>
      <c r="Q16" s="52">
        <v>2</v>
      </c>
      <c r="R16" s="40"/>
      <c r="S16" s="39">
        <f>avv!F14-A16</f>
        <v>0</v>
      </c>
      <c r="T16" s="39">
        <v>2</v>
      </c>
      <c r="V16" s="39">
        <f>avv!G14-A16</f>
        <v>0</v>
      </c>
      <c r="W16" s="41">
        <v>1</v>
      </c>
    </row>
    <row r="17" spans="1:23" x14ac:dyDescent="0.25">
      <c r="A17" s="39">
        <v>12</v>
      </c>
      <c r="B17" s="39" t="s">
        <v>107</v>
      </c>
      <c r="C17" s="40"/>
      <c r="D17" s="39">
        <f>avv!A14-A17</f>
        <v>-1</v>
      </c>
      <c r="E17" s="54">
        <v>3</v>
      </c>
      <c r="F17" s="40"/>
      <c r="G17" s="39">
        <f>avv!B16-A17</f>
        <v>1</v>
      </c>
      <c r="H17" s="41">
        <v>3</v>
      </c>
      <c r="I17" s="40"/>
      <c r="J17" s="39">
        <f>avv!C14-A17</f>
        <v>1</v>
      </c>
      <c r="K17" s="41">
        <v>3</v>
      </c>
      <c r="L17" s="40"/>
      <c r="M17" s="39">
        <f>avv!D15-A17</f>
        <v>2</v>
      </c>
      <c r="N17" s="41">
        <v>2</v>
      </c>
      <c r="O17" s="40"/>
      <c r="P17" s="39">
        <f>avv!E15-A17</f>
        <v>0</v>
      </c>
      <c r="Q17" s="41">
        <v>3</v>
      </c>
      <c r="R17" s="40"/>
      <c r="S17" s="39">
        <f>avv!F15-A17</f>
        <v>1</v>
      </c>
      <c r="T17" s="39">
        <v>2</v>
      </c>
      <c r="V17" s="39">
        <f>avv!G15-A17</f>
        <v>1</v>
      </c>
      <c r="W17" s="41">
        <v>3</v>
      </c>
    </row>
    <row r="18" spans="1:23" x14ac:dyDescent="0.25">
      <c r="A18" s="39">
        <v>12</v>
      </c>
      <c r="B18" s="69" t="s">
        <v>177</v>
      </c>
      <c r="C18" s="40"/>
      <c r="D18" s="39">
        <f>avv!A16-A18</f>
        <v>-1</v>
      </c>
      <c r="E18" s="54">
        <v>3</v>
      </c>
      <c r="F18" s="40"/>
      <c r="G18" s="39">
        <f>avv!B17-A18</f>
        <v>1</v>
      </c>
      <c r="H18" s="41">
        <v>3</v>
      </c>
      <c r="I18" s="40"/>
      <c r="J18" s="39">
        <f>avv!C16-A18</f>
        <v>0</v>
      </c>
      <c r="K18" s="41">
        <v>3</v>
      </c>
      <c r="L18" s="40"/>
      <c r="M18" s="39">
        <f>avv!D16-A18</f>
        <v>1</v>
      </c>
      <c r="N18" s="41">
        <v>2</v>
      </c>
      <c r="O18" s="40"/>
      <c r="P18" s="39">
        <f>avv!E16-A18</f>
        <v>0</v>
      </c>
      <c r="Q18" s="41">
        <v>3</v>
      </c>
      <c r="R18" s="40"/>
      <c r="S18" s="39">
        <f>avv!F16-A18</f>
        <v>1</v>
      </c>
      <c r="T18" s="69">
        <v>1</v>
      </c>
      <c r="V18" s="39">
        <f>avv!G16-A18</f>
        <v>1</v>
      </c>
      <c r="W18" s="41">
        <v>1</v>
      </c>
    </row>
    <row r="19" spans="1:23" x14ac:dyDescent="0.25">
      <c r="A19" s="39">
        <v>12</v>
      </c>
      <c r="B19" s="63" t="s">
        <v>153</v>
      </c>
      <c r="C19" s="74"/>
      <c r="D19" s="63"/>
      <c r="E19" s="75"/>
      <c r="F19" s="74"/>
      <c r="G19" s="63"/>
      <c r="H19" s="75"/>
      <c r="I19" s="74"/>
      <c r="J19" s="63"/>
      <c r="K19" s="75"/>
      <c r="L19" s="74"/>
      <c r="M19" s="63"/>
      <c r="N19" s="75"/>
      <c r="O19" s="40"/>
      <c r="P19" s="39">
        <f>avv!E28-A19</f>
        <v>-1</v>
      </c>
      <c r="Q19" s="41">
        <v>1</v>
      </c>
      <c r="R19" s="40"/>
      <c r="S19" s="39">
        <f>avv!F28-A19</f>
        <v>-1</v>
      </c>
      <c r="T19" s="39">
        <v>1</v>
      </c>
      <c r="V19" s="39">
        <f>avv!G17-A19</f>
        <v>1</v>
      </c>
      <c r="W19" s="41">
        <v>1</v>
      </c>
    </row>
    <row r="20" spans="1:23" x14ac:dyDescent="0.25">
      <c r="A20" s="39">
        <v>12</v>
      </c>
      <c r="B20" s="69" t="s">
        <v>161</v>
      </c>
      <c r="C20" s="40"/>
      <c r="D20" s="39">
        <f>avv!A17-A20</f>
        <v>-1</v>
      </c>
      <c r="E20" s="54">
        <v>3</v>
      </c>
      <c r="F20" s="40"/>
      <c r="G20" s="39">
        <f>avv!B18-A20</f>
        <v>1</v>
      </c>
      <c r="H20" s="70">
        <v>1</v>
      </c>
      <c r="J20" s="39">
        <f>avv!C17-A20</f>
        <v>0</v>
      </c>
      <c r="K20" s="39">
        <v>3</v>
      </c>
      <c r="L20" s="40"/>
      <c r="M20" s="39">
        <f>avv!D17-A20</f>
        <v>1</v>
      </c>
      <c r="N20" s="41">
        <v>2</v>
      </c>
      <c r="P20" s="39">
        <f>avv!E17-A20</f>
        <v>0</v>
      </c>
      <c r="Q20" s="39">
        <v>3</v>
      </c>
      <c r="R20" s="40"/>
      <c r="S20" s="39">
        <f>avv!F17-A20</f>
        <v>1</v>
      </c>
      <c r="T20" s="39">
        <v>1</v>
      </c>
      <c r="V20" s="39">
        <f>avv!G18-A20</f>
        <v>1</v>
      </c>
      <c r="W20" s="41">
        <v>2</v>
      </c>
    </row>
    <row r="21" spans="1:23" x14ac:dyDescent="0.25">
      <c r="A21" s="39">
        <v>12</v>
      </c>
      <c r="B21" s="63" t="s">
        <v>178</v>
      </c>
      <c r="C21" s="56"/>
      <c r="D21" s="57"/>
      <c r="E21" s="58"/>
      <c r="F21" s="59"/>
      <c r="G21" s="57"/>
      <c r="H21" s="58"/>
      <c r="I21" s="40"/>
      <c r="J21" s="39">
        <f>avv!C19-A21</f>
        <v>0</v>
      </c>
      <c r="K21" s="41">
        <v>2</v>
      </c>
      <c r="L21" s="40"/>
      <c r="M21" s="39">
        <f>avv!D19-A21</f>
        <v>1</v>
      </c>
      <c r="N21" s="41">
        <v>3</v>
      </c>
      <c r="O21" s="40"/>
      <c r="P21" s="39">
        <f>avv!E19-A21</f>
        <v>0</v>
      </c>
      <c r="Q21" s="41">
        <v>3</v>
      </c>
      <c r="R21" s="40"/>
      <c r="S21" s="39">
        <f>avv!F19-A21</f>
        <v>1</v>
      </c>
      <c r="T21" s="39">
        <v>3</v>
      </c>
      <c r="V21" s="39">
        <f>avv!G19-A21</f>
        <v>1</v>
      </c>
      <c r="W21" s="41">
        <v>2</v>
      </c>
    </row>
    <row r="22" spans="1:23" x14ac:dyDescent="0.25">
      <c r="A22" s="39">
        <v>12</v>
      </c>
      <c r="B22" s="69" t="s">
        <v>156</v>
      </c>
      <c r="C22" s="40"/>
      <c r="D22" s="39">
        <f>avv!A18-A22</f>
        <v>-1</v>
      </c>
      <c r="E22" s="54">
        <v>3</v>
      </c>
      <c r="F22" s="40"/>
      <c r="G22" s="39">
        <f>avv!B19-A22</f>
        <v>0</v>
      </c>
      <c r="H22" s="41">
        <v>3</v>
      </c>
      <c r="I22" s="40"/>
      <c r="J22" s="39">
        <f>avv!C18-A22</f>
        <v>0</v>
      </c>
      <c r="K22" s="41">
        <v>3</v>
      </c>
      <c r="L22" s="40"/>
      <c r="M22" s="39">
        <f>avv!D18-A22</f>
        <v>1</v>
      </c>
      <c r="N22" s="70">
        <v>1</v>
      </c>
      <c r="O22" s="40"/>
      <c r="P22" s="39">
        <f>avv!E18-A22</f>
        <v>0</v>
      </c>
      <c r="Q22" s="41">
        <v>3</v>
      </c>
      <c r="R22" s="40"/>
      <c r="S22" s="39">
        <f>avv!F18-A22</f>
        <v>1</v>
      </c>
      <c r="T22" s="39">
        <v>3</v>
      </c>
      <c r="V22" s="39">
        <f>avv!G20-A22</f>
        <v>1</v>
      </c>
      <c r="W22" s="41">
        <v>1</v>
      </c>
    </row>
    <row r="23" spans="1:23" x14ac:dyDescent="0.25">
      <c r="A23" s="39">
        <v>12</v>
      </c>
      <c r="B23" s="39" t="s">
        <v>121</v>
      </c>
      <c r="C23" s="40"/>
      <c r="D23" s="39">
        <f>avv!A19-A23</f>
        <v>-1</v>
      </c>
      <c r="E23" s="54">
        <v>3</v>
      </c>
      <c r="F23" s="40"/>
      <c r="G23" s="39">
        <f>avv!B20-A23</f>
        <v>0</v>
      </c>
      <c r="H23" s="41">
        <v>3</v>
      </c>
      <c r="I23" s="40"/>
      <c r="J23" s="39">
        <f>avv!C20-A23</f>
        <v>0</v>
      </c>
      <c r="K23" s="42">
        <v>3</v>
      </c>
      <c r="L23" s="40"/>
      <c r="M23" s="39">
        <f>avv!D20-A23</f>
        <v>1</v>
      </c>
      <c r="N23" s="41">
        <v>3</v>
      </c>
      <c r="O23" s="40"/>
      <c r="P23" s="39">
        <f>avv!E22-A23</f>
        <v>-1</v>
      </c>
      <c r="Q23" s="42">
        <v>3</v>
      </c>
      <c r="R23" s="40"/>
      <c r="S23" s="39">
        <f>avv!F20-A23</f>
        <v>0</v>
      </c>
      <c r="T23" s="39">
        <v>3</v>
      </c>
      <c r="V23" s="39">
        <f>avv!G21-A23</f>
        <v>1</v>
      </c>
      <c r="W23" s="42">
        <v>3</v>
      </c>
    </row>
    <row r="24" spans="1:23" x14ac:dyDescent="0.25">
      <c r="A24" s="39">
        <v>12</v>
      </c>
      <c r="B24" s="66" t="s">
        <v>157</v>
      </c>
      <c r="C24" s="65"/>
      <c r="D24" s="66"/>
      <c r="E24" s="67"/>
      <c r="F24" s="65"/>
      <c r="G24" s="66"/>
      <c r="H24" s="67"/>
      <c r="I24" s="65"/>
      <c r="J24" s="66"/>
      <c r="K24" s="67"/>
      <c r="L24" s="40"/>
      <c r="M24" s="39">
        <f>avv!D22-A24</f>
        <v>0</v>
      </c>
      <c r="N24" s="41">
        <v>3</v>
      </c>
      <c r="O24" s="40"/>
      <c r="P24" s="55"/>
      <c r="Q24" s="41"/>
      <c r="R24" s="40"/>
      <c r="S24" s="55">
        <f>avv!F22-A24</f>
        <v>0</v>
      </c>
      <c r="V24" s="39">
        <f>avv!G22-A24</f>
        <v>1</v>
      </c>
      <c r="W24" s="41">
        <v>3</v>
      </c>
    </row>
    <row r="25" spans="1:23" x14ac:dyDescent="0.25">
      <c r="A25" s="39">
        <v>12</v>
      </c>
      <c r="B25" s="55" t="s">
        <v>179</v>
      </c>
      <c r="C25" s="51"/>
      <c r="D25" s="39">
        <f>avv!A29-A25</f>
        <v>-2</v>
      </c>
      <c r="E25" s="54">
        <v>3</v>
      </c>
      <c r="F25" s="51"/>
      <c r="G25" s="39">
        <f>avv!B27-A25</f>
        <v>-1</v>
      </c>
      <c r="H25" s="52">
        <v>2</v>
      </c>
      <c r="I25" s="51"/>
      <c r="J25" s="39">
        <f>avv!C21-A25</f>
        <v>0</v>
      </c>
      <c r="K25" s="41">
        <v>3</v>
      </c>
      <c r="L25" s="40"/>
      <c r="M25" s="55"/>
      <c r="N25" s="41"/>
      <c r="O25" s="40"/>
      <c r="P25" s="39">
        <f>avv!E22-A25</f>
        <v>-1</v>
      </c>
      <c r="Q25" s="52">
        <v>0</v>
      </c>
      <c r="R25" s="40"/>
      <c r="S25" s="55">
        <f>avv!F21-A25</f>
        <v>0</v>
      </c>
      <c r="V25" s="39">
        <f>avv!G23-A25</f>
        <v>1</v>
      </c>
    </row>
    <row r="26" spans="1:23" x14ac:dyDescent="0.25">
      <c r="A26" s="39">
        <v>12</v>
      </c>
      <c r="B26" s="55" t="s">
        <v>158</v>
      </c>
      <c r="C26" s="40"/>
      <c r="D26" s="39">
        <f>avv!A22-A26</f>
        <v>-2</v>
      </c>
      <c r="E26" s="54">
        <v>3</v>
      </c>
      <c r="F26" s="40"/>
      <c r="G26" s="39">
        <f>avv!B23-A26</f>
        <v>0</v>
      </c>
      <c r="H26" s="41">
        <v>3</v>
      </c>
      <c r="I26" s="40"/>
      <c r="K26" s="64"/>
      <c r="L26" s="40"/>
      <c r="M26" s="39">
        <f>avv!D23-A26</f>
        <v>0</v>
      </c>
      <c r="N26" s="41">
        <v>2</v>
      </c>
      <c r="O26" s="40"/>
      <c r="P26" s="39">
        <f>avv!E23-A26</f>
        <v>-1</v>
      </c>
      <c r="Q26" s="41">
        <v>3</v>
      </c>
      <c r="R26" s="40"/>
      <c r="S26" s="55">
        <f>avv!F23-A26</f>
        <v>0</v>
      </c>
      <c r="V26" s="39">
        <f>avv!G24-A26</f>
        <v>0</v>
      </c>
      <c r="W26" s="41">
        <v>2</v>
      </c>
    </row>
    <row r="27" spans="1:23" x14ac:dyDescent="0.25">
      <c r="A27" s="39">
        <v>12</v>
      </c>
      <c r="B27" s="55" t="s">
        <v>180</v>
      </c>
      <c r="C27" s="40"/>
      <c r="D27" s="39">
        <f>avv!A23-A27</f>
        <v>-2</v>
      </c>
      <c r="E27" s="54">
        <v>3</v>
      </c>
      <c r="F27" s="40"/>
      <c r="G27" s="39">
        <f>avv!B24-A27</f>
        <v>0</v>
      </c>
      <c r="H27" s="41">
        <v>3</v>
      </c>
      <c r="J27" s="39">
        <f>avv!C24-A27</f>
        <v>-1</v>
      </c>
      <c r="K27" s="39">
        <v>3</v>
      </c>
      <c r="L27" s="40"/>
      <c r="M27" s="55"/>
      <c r="N27" s="41"/>
      <c r="P27" s="39">
        <f>avv!E25-A27</f>
        <v>-1</v>
      </c>
      <c r="Q27" s="39">
        <v>3</v>
      </c>
      <c r="R27" s="40"/>
      <c r="S27" s="39">
        <f>avv!F24-A27</f>
        <v>0</v>
      </c>
      <c r="T27" s="39">
        <v>3</v>
      </c>
      <c r="V27" s="39">
        <f>avv!G25-A27</f>
        <v>0</v>
      </c>
      <c r="W27" s="41">
        <v>1</v>
      </c>
    </row>
    <row r="28" spans="1:23" x14ac:dyDescent="0.25">
      <c r="A28" s="39">
        <v>12</v>
      </c>
      <c r="B28" s="39" t="s">
        <v>166</v>
      </c>
      <c r="C28" s="40"/>
      <c r="D28" s="39">
        <f>avv!A24-A28</f>
        <v>-2</v>
      </c>
      <c r="E28" s="54">
        <v>3</v>
      </c>
      <c r="F28" s="40"/>
      <c r="G28" s="39">
        <f>avv!B26-A28</f>
        <v>-1</v>
      </c>
      <c r="H28" s="41">
        <v>3</v>
      </c>
      <c r="I28" s="40"/>
      <c r="J28" s="39">
        <f>avv!C25-A28</f>
        <v>-1</v>
      </c>
      <c r="K28" s="41">
        <v>3</v>
      </c>
      <c r="L28" s="40"/>
      <c r="M28" s="39">
        <f>avv!D25-A28</f>
        <v>0</v>
      </c>
      <c r="N28" s="41">
        <v>3</v>
      </c>
      <c r="O28" s="40"/>
      <c r="P28" s="39">
        <f>avv!E25-A28</f>
        <v>-1</v>
      </c>
      <c r="Q28" s="41">
        <v>3</v>
      </c>
      <c r="R28" s="40"/>
      <c r="S28" s="39">
        <f>avv!F25-A28</f>
        <v>0</v>
      </c>
      <c r="T28" s="39">
        <v>3</v>
      </c>
      <c r="V28" s="39">
        <f>avv!G26-A28</f>
        <v>0</v>
      </c>
      <c r="W28" s="41">
        <v>3</v>
      </c>
    </row>
    <row r="29" spans="1:23" x14ac:dyDescent="0.25">
      <c r="A29" s="39">
        <v>12</v>
      </c>
      <c r="B29" s="60" t="s">
        <v>181</v>
      </c>
      <c r="C29" s="40" t="s">
        <v>182</v>
      </c>
      <c r="D29" s="39">
        <f>avv!A11-A29</f>
        <v>-1</v>
      </c>
      <c r="E29" s="54">
        <v>3</v>
      </c>
      <c r="F29" s="40"/>
      <c r="G29" s="39">
        <f>avv!B30-A29</f>
        <v>-5</v>
      </c>
      <c r="H29" s="41">
        <v>3</v>
      </c>
      <c r="I29" s="40"/>
      <c r="J29" s="39">
        <f>avv!C30-A29</f>
        <v>-2</v>
      </c>
      <c r="K29" s="41">
        <v>3</v>
      </c>
      <c r="L29" s="40"/>
      <c r="M29" s="39">
        <f>avv!D26-A29</f>
        <v>0</v>
      </c>
      <c r="N29" s="52">
        <v>1</v>
      </c>
      <c r="O29" s="40"/>
      <c r="P29" s="39">
        <f>avv!E27-A29</f>
        <v>-1</v>
      </c>
      <c r="Q29" s="41">
        <v>3</v>
      </c>
      <c r="R29" s="40"/>
      <c r="S29" s="39">
        <f>avv!F26-A29</f>
        <v>-1</v>
      </c>
      <c r="T29" s="39">
        <v>3</v>
      </c>
      <c r="V29" s="39">
        <f>avv!G27-A29</f>
        <v>0</v>
      </c>
      <c r="W29" s="41">
        <v>3</v>
      </c>
    </row>
    <row r="30" spans="1:23" x14ac:dyDescent="0.25">
      <c r="A30" s="39">
        <v>12</v>
      </c>
      <c r="B30" s="39" t="s">
        <v>162</v>
      </c>
      <c r="C30" s="40"/>
      <c r="D30" s="39">
        <f>avv!A25-A30</f>
        <v>-2</v>
      </c>
      <c r="E30" s="54">
        <v>3</v>
      </c>
      <c r="F30" s="40">
        <v>1</v>
      </c>
      <c r="G30" s="39">
        <f>avv!B25-A30</f>
        <v>-1</v>
      </c>
      <c r="H30" s="41">
        <v>3</v>
      </c>
      <c r="I30" s="40"/>
      <c r="J30" s="39">
        <f>avv!C26-A30</f>
        <v>-1</v>
      </c>
      <c r="K30" s="41">
        <v>3</v>
      </c>
      <c r="L30" s="40"/>
      <c r="M30" s="39">
        <f>avv!D27-A30</f>
        <v>0</v>
      </c>
      <c r="N30" s="41">
        <v>3</v>
      </c>
      <c r="O30" s="40"/>
      <c r="P30" s="39">
        <f>avv!E28-A30</f>
        <v>-1</v>
      </c>
      <c r="Q30" s="41">
        <v>3</v>
      </c>
      <c r="R30" s="40"/>
      <c r="S30" s="39">
        <f>avv!F27-A30</f>
        <v>-1</v>
      </c>
      <c r="T30" s="39">
        <v>3</v>
      </c>
      <c r="V30" s="39">
        <f>avv!G28-A30</f>
        <v>0</v>
      </c>
      <c r="W30" s="41">
        <v>1</v>
      </c>
    </row>
    <row r="31" spans="1:23" x14ac:dyDescent="0.25">
      <c r="A31" s="39">
        <v>12</v>
      </c>
      <c r="B31" s="39" t="s">
        <v>170</v>
      </c>
      <c r="C31" s="40"/>
      <c r="D31" s="39">
        <f>avv!A28-A31</f>
        <v>-2</v>
      </c>
      <c r="E31" s="54">
        <v>3</v>
      </c>
      <c r="F31" s="40"/>
      <c r="G31" s="39">
        <f>avv!B28-A31</f>
        <v>-3</v>
      </c>
      <c r="H31" s="41">
        <v>3</v>
      </c>
      <c r="I31" s="40"/>
      <c r="J31" s="39">
        <f>avv!C28-A31</f>
        <v>-1</v>
      </c>
      <c r="K31" s="41">
        <v>3</v>
      </c>
      <c r="L31" s="40"/>
      <c r="M31" s="39">
        <f>avv!D29-A31</f>
        <v>-1</v>
      </c>
      <c r="N31" s="41">
        <v>3</v>
      </c>
      <c r="O31" s="40"/>
      <c r="P31" s="39">
        <f>avv!E29-A31</f>
        <v>-1</v>
      </c>
      <c r="Q31" s="41">
        <v>3</v>
      </c>
      <c r="R31" s="40"/>
      <c r="S31" s="39">
        <f>avv!F29-A31</f>
        <v>-2</v>
      </c>
      <c r="T31" s="39">
        <v>3</v>
      </c>
      <c r="V31" s="39">
        <f>avv!G29-A31</f>
        <v>0</v>
      </c>
      <c r="W31" s="77">
        <v>2</v>
      </c>
    </row>
    <row r="32" spans="1:23" ht="15.75" customHeight="1" thickBot="1" x14ac:dyDescent="0.3">
      <c r="A32" s="39">
        <v>12</v>
      </c>
      <c r="B32" s="55" t="s">
        <v>183</v>
      </c>
      <c r="C32" s="40"/>
      <c r="D32" s="39">
        <f>avv!A27-A32</f>
        <v>-2</v>
      </c>
      <c r="E32" s="54">
        <v>3</v>
      </c>
      <c r="F32" s="40"/>
      <c r="G32" s="39">
        <f>avv!B29-A32</f>
        <v>-4</v>
      </c>
      <c r="H32" s="41">
        <v>3</v>
      </c>
      <c r="I32" s="40"/>
      <c r="J32" s="39">
        <f>avv!C29-A32</f>
        <v>-1</v>
      </c>
      <c r="K32" s="41">
        <v>3</v>
      </c>
      <c r="L32" s="40"/>
      <c r="M32" s="55"/>
      <c r="N32" s="41"/>
      <c r="O32" s="40"/>
      <c r="P32" s="55"/>
      <c r="Q32" s="41"/>
      <c r="R32" s="40"/>
      <c r="S32" s="39">
        <f>avv!F30-A32</f>
        <v>-2</v>
      </c>
      <c r="T32" s="39">
        <v>3</v>
      </c>
      <c r="V32" s="39">
        <f>avv!G30-A32</f>
        <v>-3</v>
      </c>
      <c r="W32" s="41">
        <v>3</v>
      </c>
    </row>
    <row r="33" spans="1:29" ht="15.75" customHeight="1" thickBot="1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  <c r="X33" s="43"/>
      <c r="Y33" s="43"/>
      <c r="Z33" s="43"/>
      <c r="AA33" s="43"/>
      <c r="AB33" s="43"/>
      <c r="AC33" s="43"/>
    </row>
    <row r="34" spans="1:29" hidden="1" outlineLevel="1" x14ac:dyDescent="0.25">
      <c r="A34" s="39">
        <v>12</v>
      </c>
      <c r="B34" s="55" t="s">
        <v>184</v>
      </c>
      <c r="C34" s="40"/>
      <c r="D34" s="39">
        <f>avv!A30-A34</f>
        <v>-2</v>
      </c>
      <c r="E34" s="54">
        <v>3</v>
      </c>
      <c r="F34" s="40"/>
      <c r="G34" s="55"/>
      <c r="H34" s="41"/>
      <c r="I34" s="40"/>
      <c r="K34" s="64"/>
      <c r="L34" s="40"/>
      <c r="M34" s="55"/>
      <c r="N34" s="41"/>
      <c r="O34" s="40"/>
      <c r="P34" s="39">
        <f>avv!E32-A34</f>
        <v>-12</v>
      </c>
      <c r="Q34" s="41"/>
      <c r="R34" s="40"/>
      <c r="S34" s="39">
        <f>avv!F32-A34</f>
        <v>-12</v>
      </c>
      <c r="V34" s="39">
        <f>avv!G32-A34</f>
        <v>-12</v>
      </c>
    </row>
    <row r="35" spans="1:29" hidden="1" outlineLevel="1" x14ac:dyDescent="0.25">
      <c r="A35" s="39">
        <v>13</v>
      </c>
      <c r="B35" s="55" t="s">
        <v>185</v>
      </c>
      <c r="C35" s="40"/>
      <c r="D35" s="55"/>
      <c r="E35" s="41"/>
      <c r="F35" s="40"/>
      <c r="G35" s="55"/>
      <c r="H35" s="41"/>
      <c r="I35" s="40"/>
      <c r="K35" s="64"/>
      <c r="L35" s="40"/>
      <c r="N35" s="41"/>
      <c r="O35" s="40"/>
      <c r="Q35" s="41"/>
      <c r="R35" s="40"/>
    </row>
    <row r="36" spans="1:29" ht="15.75" hidden="1" customHeight="1" outlineLevel="1" thickBot="1" x14ac:dyDescent="0.3">
      <c r="A36" s="39">
        <v>12</v>
      </c>
      <c r="B36" s="55" t="s">
        <v>186</v>
      </c>
      <c r="C36" s="40"/>
      <c r="D36" s="55"/>
      <c r="E36" s="41"/>
      <c r="F36" s="40"/>
      <c r="G36" s="55"/>
      <c r="H36" s="41"/>
      <c r="I36" s="40"/>
      <c r="K36" s="64"/>
      <c r="L36" s="40"/>
      <c r="N36" s="41"/>
      <c r="O36" s="40"/>
      <c r="Q36" s="41"/>
      <c r="R36" s="40"/>
    </row>
    <row r="37" spans="1:29" ht="15.75" customHeight="1" collapsed="1" thickBot="1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72"/>
      <c r="U37" s="73"/>
      <c r="V37" s="43"/>
      <c r="W37" s="43"/>
      <c r="X37" s="43"/>
      <c r="Y37" s="43"/>
      <c r="Z37" s="43"/>
      <c r="AA37" s="43"/>
      <c r="AB37" s="43"/>
      <c r="AC37" s="43"/>
    </row>
    <row r="38" spans="1:29" ht="15.75" customHeight="1" thickBot="1" x14ac:dyDescent="0.3">
      <c r="A38" s="44"/>
      <c r="B38" s="45" t="s">
        <v>171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72"/>
      <c r="U38" s="73"/>
      <c r="V38" s="43"/>
      <c r="W38" s="43"/>
      <c r="X38" s="43"/>
      <c r="Y38" s="43"/>
      <c r="Z38" s="43"/>
      <c r="AA38" s="43"/>
      <c r="AB38" s="43"/>
      <c r="AC38" s="43"/>
    </row>
    <row r="39" spans="1:29" ht="15.75" customHeight="1" thickBot="1" x14ac:dyDescent="0.3">
      <c r="A39" s="46"/>
      <c r="B39" s="45" t="s">
        <v>172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72"/>
      <c r="U39" s="73"/>
      <c r="V39" s="43"/>
      <c r="W39" s="43"/>
      <c r="X39" s="43"/>
      <c r="Y39" s="43"/>
      <c r="Z39" s="43"/>
      <c r="AA39" s="43"/>
      <c r="AB39" s="43"/>
      <c r="AC39" s="43"/>
    </row>
    <row r="40" spans="1:29" ht="15.75" customHeight="1" thickBot="1" x14ac:dyDescent="0.3">
      <c r="A40" s="47"/>
      <c r="B40" s="45" t="s">
        <v>173</v>
      </c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72"/>
      <c r="U40" s="73"/>
      <c r="V40" s="43"/>
      <c r="W40" s="43"/>
      <c r="X40" s="43"/>
      <c r="Y40" s="43"/>
      <c r="Z40" s="43"/>
      <c r="AA40" s="43"/>
      <c r="AB40" s="43"/>
      <c r="AC40" s="43"/>
    </row>
    <row r="41" spans="1:29" ht="15.75" customHeight="1" thickBot="1" x14ac:dyDescent="0.3">
      <c r="A41" s="48"/>
      <c r="B41" s="45" t="s">
        <v>187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  <c r="X41" s="43"/>
      <c r="Y41" s="43"/>
      <c r="Z41" s="43"/>
      <c r="AA41" s="43"/>
      <c r="AB41" s="43"/>
      <c r="AC41" s="43"/>
    </row>
    <row r="42" spans="1:29" ht="15.75" customHeight="1" thickBot="1" x14ac:dyDescent="0.3">
      <c r="A42" s="49"/>
      <c r="B42" s="45" t="s">
        <v>188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  <c r="X42" s="43"/>
      <c r="Y42" s="43"/>
      <c r="Z42" s="43"/>
      <c r="AA42" s="43"/>
      <c r="AB42" s="43"/>
      <c r="AC42" s="43"/>
    </row>
    <row r="43" spans="1:29" ht="15.75" customHeight="1" thickBot="1" x14ac:dyDescent="0.3">
      <c r="A43" s="71"/>
      <c r="B43" s="45" t="s">
        <v>189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  <c r="X43" s="43"/>
      <c r="Y43" s="43"/>
      <c r="Z43" s="43"/>
      <c r="AA43" s="43"/>
      <c r="AB43" s="43"/>
      <c r="AC43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2"/>
  <sheetViews>
    <sheetView workbookViewId="0">
      <selection activeCell="E17" sqref="E17"/>
    </sheetView>
  </sheetViews>
  <sheetFormatPr defaultRowHeight="15" outlineLevelCol="1" x14ac:dyDescent="0.25"/>
  <cols>
    <col min="2" max="2" width="18.7109375" style="93" customWidth="1"/>
    <col min="3" max="20" width="9.140625" customWidth="1" outlineLevel="1"/>
  </cols>
  <sheetData>
    <row r="1" spans="1:23" ht="15.75" customHeight="1" thickBot="1" x14ac:dyDescent="0.3">
      <c r="A1" s="39"/>
      <c r="B1" s="61"/>
      <c r="C1" s="126">
        <v>1</v>
      </c>
      <c r="D1" s="127"/>
      <c r="E1" s="128"/>
      <c r="F1" s="126">
        <v>2</v>
      </c>
      <c r="G1" s="127"/>
      <c r="H1" s="128"/>
      <c r="I1" s="126">
        <v>3</v>
      </c>
      <c r="J1" s="127"/>
      <c r="K1" s="128"/>
      <c r="L1" s="126">
        <v>4</v>
      </c>
      <c r="M1" s="127"/>
      <c r="N1" s="128"/>
      <c r="O1" s="126">
        <v>5</v>
      </c>
      <c r="P1" s="127"/>
      <c r="Q1" s="128"/>
      <c r="R1" s="126">
        <v>6</v>
      </c>
      <c r="S1" s="127"/>
      <c r="T1" s="128"/>
      <c r="U1" s="126">
        <v>7</v>
      </c>
      <c r="V1" s="127"/>
      <c r="W1" s="128"/>
    </row>
    <row r="2" spans="1:23" ht="15.75" customHeight="1" thickBot="1" x14ac:dyDescent="0.3">
      <c r="A2" s="36"/>
      <c r="B2" s="90" t="s">
        <v>138</v>
      </c>
      <c r="C2" s="36" t="s">
        <v>139</v>
      </c>
      <c r="D2" s="36" t="s">
        <v>140</v>
      </c>
      <c r="E2" s="38" t="s">
        <v>141</v>
      </c>
      <c r="F2" s="37" t="s">
        <v>139</v>
      </c>
      <c r="G2" s="36" t="s">
        <v>140</v>
      </c>
      <c r="H2" s="38" t="s">
        <v>141</v>
      </c>
      <c r="I2" s="37" t="s">
        <v>139</v>
      </c>
      <c r="J2" s="36" t="s">
        <v>140</v>
      </c>
      <c r="K2" s="38" t="s">
        <v>141</v>
      </c>
      <c r="L2" s="37" t="s">
        <v>139</v>
      </c>
      <c r="M2" s="36" t="s">
        <v>140</v>
      </c>
      <c r="N2" s="38" t="s">
        <v>141</v>
      </c>
      <c r="O2" s="37" t="s">
        <v>139</v>
      </c>
      <c r="P2" s="36" t="s">
        <v>140</v>
      </c>
      <c r="Q2" s="38" t="s">
        <v>141</v>
      </c>
      <c r="R2" s="37" t="s">
        <v>139</v>
      </c>
      <c r="S2" s="36" t="s">
        <v>140</v>
      </c>
      <c r="T2" s="36" t="s">
        <v>141</v>
      </c>
      <c r="U2" s="37" t="s">
        <v>139</v>
      </c>
      <c r="V2" s="36" t="s">
        <v>140</v>
      </c>
      <c r="W2" s="38" t="s">
        <v>141</v>
      </c>
    </row>
    <row r="3" spans="1:23" x14ac:dyDescent="0.25">
      <c r="A3" s="39">
        <v>16</v>
      </c>
      <c r="B3" s="94" t="s">
        <v>129</v>
      </c>
      <c r="C3" s="39"/>
      <c r="D3" s="39">
        <v>0</v>
      </c>
      <c r="E3" s="41">
        <v>2</v>
      </c>
      <c r="F3" s="40"/>
      <c r="G3" s="39">
        <v>2</v>
      </c>
      <c r="H3" s="41">
        <v>1</v>
      </c>
      <c r="I3" s="40"/>
      <c r="J3" s="55"/>
      <c r="K3" s="41"/>
      <c r="L3" s="40"/>
      <c r="M3" s="39">
        <v>-1</v>
      </c>
      <c r="N3" s="41">
        <v>2</v>
      </c>
      <c r="O3" s="40"/>
      <c r="P3" s="39">
        <v>2</v>
      </c>
      <c r="Q3" s="41">
        <v>2</v>
      </c>
      <c r="R3" s="40"/>
      <c r="S3" s="39">
        <v>0</v>
      </c>
      <c r="T3" s="39">
        <v>2</v>
      </c>
      <c r="U3" s="40"/>
      <c r="V3" s="39">
        <v>1</v>
      </c>
      <c r="W3" s="41">
        <v>1</v>
      </c>
    </row>
    <row r="4" spans="1:23" x14ac:dyDescent="0.25">
      <c r="A4" s="39">
        <v>15</v>
      </c>
      <c r="B4" s="94" t="s">
        <v>190</v>
      </c>
      <c r="C4" s="39"/>
      <c r="D4" s="39">
        <v>1</v>
      </c>
      <c r="E4" s="41">
        <v>2</v>
      </c>
      <c r="F4" s="40"/>
      <c r="G4" s="39">
        <v>1</v>
      </c>
      <c r="H4" s="41">
        <v>1</v>
      </c>
      <c r="I4" s="40"/>
      <c r="J4" s="55"/>
      <c r="K4" s="41"/>
      <c r="L4" s="40"/>
      <c r="M4" s="39">
        <v>0</v>
      </c>
      <c r="N4" s="41">
        <v>3</v>
      </c>
      <c r="O4" s="40"/>
      <c r="P4" s="39">
        <v>3</v>
      </c>
      <c r="Q4" s="41">
        <v>2</v>
      </c>
      <c r="R4" s="40"/>
      <c r="S4" s="39">
        <v>-1</v>
      </c>
      <c r="T4" s="39">
        <v>2</v>
      </c>
      <c r="U4" s="40"/>
      <c r="V4" s="39">
        <v>1</v>
      </c>
      <c r="W4" s="41">
        <v>2</v>
      </c>
    </row>
    <row r="5" spans="1:23" x14ac:dyDescent="0.25">
      <c r="A5" s="39">
        <v>14</v>
      </c>
      <c r="B5" s="91" t="s">
        <v>191</v>
      </c>
      <c r="C5" s="39"/>
      <c r="D5" s="39">
        <v>0</v>
      </c>
      <c r="E5" s="41">
        <v>2</v>
      </c>
      <c r="F5" s="40"/>
      <c r="G5" s="39">
        <v>2</v>
      </c>
      <c r="H5" s="41">
        <v>2</v>
      </c>
      <c r="I5" s="40"/>
      <c r="J5" s="39">
        <v>1</v>
      </c>
      <c r="K5" s="41">
        <v>3</v>
      </c>
      <c r="L5" s="40"/>
      <c r="M5" s="39">
        <v>2</v>
      </c>
      <c r="N5" s="41">
        <v>1</v>
      </c>
      <c r="O5" s="40"/>
      <c r="P5" s="39">
        <v>3</v>
      </c>
      <c r="Q5" s="41">
        <v>0</v>
      </c>
      <c r="R5" s="40"/>
      <c r="S5" s="39">
        <v>0</v>
      </c>
      <c r="T5" s="39">
        <v>3</v>
      </c>
      <c r="U5" s="40"/>
      <c r="V5" s="39">
        <v>0</v>
      </c>
      <c r="W5" s="41">
        <v>3</v>
      </c>
    </row>
    <row r="6" spans="1:23" x14ac:dyDescent="0.25">
      <c r="A6" s="39">
        <v>14</v>
      </c>
      <c r="B6" s="104" t="s">
        <v>192</v>
      </c>
      <c r="C6" s="39"/>
      <c r="D6" s="39">
        <v>0</v>
      </c>
      <c r="E6" s="41">
        <v>2</v>
      </c>
      <c r="F6" s="40"/>
      <c r="G6" s="39">
        <v>1</v>
      </c>
      <c r="H6" s="41">
        <v>1</v>
      </c>
      <c r="I6" s="40"/>
      <c r="J6" s="39">
        <v>1</v>
      </c>
      <c r="K6" s="41">
        <v>2</v>
      </c>
      <c r="L6" s="40"/>
      <c r="M6" s="39">
        <v>1</v>
      </c>
      <c r="N6" s="41">
        <v>0</v>
      </c>
      <c r="O6" s="40"/>
      <c r="P6" s="39">
        <v>2</v>
      </c>
      <c r="Q6" s="41">
        <v>1</v>
      </c>
      <c r="R6" s="40"/>
      <c r="S6" s="39">
        <v>-1</v>
      </c>
      <c r="T6" s="39">
        <v>2</v>
      </c>
      <c r="U6" s="40"/>
      <c r="V6" s="39">
        <v>0</v>
      </c>
      <c r="W6" s="41">
        <v>3</v>
      </c>
    </row>
    <row r="7" spans="1:23" x14ac:dyDescent="0.25">
      <c r="A7" s="39">
        <v>14</v>
      </c>
      <c r="B7" s="105" t="s">
        <v>120</v>
      </c>
      <c r="C7" s="39"/>
      <c r="D7" s="39">
        <v>0</v>
      </c>
      <c r="E7" s="41">
        <v>3</v>
      </c>
      <c r="F7" s="40"/>
      <c r="G7" s="39">
        <v>1</v>
      </c>
      <c r="H7" s="41">
        <v>2</v>
      </c>
      <c r="I7" s="40"/>
      <c r="J7" s="39">
        <v>0</v>
      </c>
      <c r="K7" s="41">
        <v>3</v>
      </c>
      <c r="L7" s="40"/>
      <c r="M7" s="39">
        <v>0</v>
      </c>
      <c r="N7" s="41">
        <v>3</v>
      </c>
      <c r="O7" s="40"/>
      <c r="P7" s="39">
        <v>0</v>
      </c>
      <c r="Q7" s="41">
        <v>3</v>
      </c>
      <c r="R7" s="40"/>
      <c r="S7" s="39">
        <v>-1</v>
      </c>
      <c r="T7" s="39">
        <v>3</v>
      </c>
      <c r="U7" s="40"/>
      <c r="V7" s="39">
        <v>0</v>
      </c>
      <c r="W7" s="41">
        <v>3</v>
      </c>
    </row>
    <row r="8" spans="1:23" x14ac:dyDescent="0.25">
      <c r="A8" s="39">
        <v>13</v>
      </c>
      <c r="B8" s="91" t="s">
        <v>106</v>
      </c>
      <c r="C8" s="39"/>
      <c r="D8" s="39">
        <v>0</v>
      </c>
      <c r="E8" s="41">
        <v>3</v>
      </c>
      <c r="F8" s="40"/>
      <c r="G8" s="39">
        <v>1</v>
      </c>
      <c r="H8" s="41">
        <v>1</v>
      </c>
      <c r="I8" s="40"/>
      <c r="J8" s="39">
        <v>1</v>
      </c>
      <c r="K8" s="41">
        <v>1</v>
      </c>
      <c r="L8" s="40"/>
      <c r="M8" s="39">
        <v>1</v>
      </c>
      <c r="N8" s="41">
        <v>2</v>
      </c>
      <c r="O8" s="40"/>
      <c r="P8" s="39">
        <v>3</v>
      </c>
      <c r="Q8" s="41">
        <v>1</v>
      </c>
      <c r="R8" s="40"/>
      <c r="S8" s="39">
        <v>0</v>
      </c>
      <c r="T8" s="39">
        <v>3</v>
      </c>
      <c r="U8" s="40"/>
      <c r="V8" s="39">
        <v>0</v>
      </c>
      <c r="W8" s="41">
        <v>3</v>
      </c>
    </row>
    <row r="9" spans="1:23" x14ac:dyDescent="0.25">
      <c r="A9" s="39">
        <v>13</v>
      </c>
      <c r="B9" s="104" t="s">
        <v>193</v>
      </c>
      <c r="C9" s="39"/>
      <c r="D9" s="39">
        <v>0</v>
      </c>
      <c r="E9" s="41">
        <v>3</v>
      </c>
      <c r="F9" s="40"/>
      <c r="G9" s="39">
        <v>0</v>
      </c>
      <c r="H9" s="41">
        <v>3</v>
      </c>
      <c r="I9" s="40"/>
      <c r="J9" s="39">
        <v>1</v>
      </c>
      <c r="K9" s="41">
        <v>3</v>
      </c>
      <c r="L9" s="40"/>
      <c r="M9" s="39">
        <v>1</v>
      </c>
      <c r="N9" s="41">
        <v>2</v>
      </c>
      <c r="O9" s="40"/>
      <c r="P9" s="39">
        <v>2</v>
      </c>
      <c r="Q9" s="41">
        <v>2</v>
      </c>
      <c r="R9" s="40"/>
      <c r="S9" s="39">
        <v>-1</v>
      </c>
      <c r="T9" s="39">
        <v>3</v>
      </c>
      <c r="U9" s="40"/>
      <c r="V9" s="39">
        <v>-1</v>
      </c>
      <c r="W9" s="41">
        <v>1</v>
      </c>
    </row>
    <row r="10" spans="1:23" x14ac:dyDescent="0.25">
      <c r="A10" s="39">
        <v>13</v>
      </c>
      <c r="B10" s="91" t="s">
        <v>194</v>
      </c>
      <c r="C10" s="39"/>
      <c r="D10" s="39">
        <v>0</v>
      </c>
      <c r="E10" s="41">
        <v>3</v>
      </c>
      <c r="F10" s="40"/>
      <c r="G10" s="39">
        <v>0</v>
      </c>
      <c r="H10" s="41">
        <v>3</v>
      </c>
      <c r="I10" s="40"/>
      <c r="J10" s="39">
        <v>1</v>
      </c>
      <c r="K10" s="41">
        <v>2</v>
      </c>
      <c r="L10" s="40"/>
      <c r="M10" s="39">
        <v>1</v>
      </c>
      <c r="N10" s="41">
        <v>1</v>
      </c>
      <c r="O10" s="40"/>
      <c r="P10" s="39">
        <v>3</v>
      </c>
      <c r="Q10" s="41">
        <v>2</v>
      </c>
      <c r="R10" s="40"/>
      <c r="S10" s="39">
        <v>0</v>
      </c>
      <c r="T10" s="39">
        <v>3</v>
      </c>
      <c r="U10" s="40"/>
      <c r="V10" s="39">
        <v>0</v>
      </c>
      <c r="W10" s="41">
        <v>3</v>
      </c>
    </row>
    <row r="11" spans="1:23" x14ac:dyDescent="0.25">
      <c r="A11" s="39">
        <v>13</v>
      </c>
      <c r="B11" s="91" t="s">
        <v>113</v>
      </c>
      <c r="C11" s="39"/>
      <c r="D11" s="39">
        <v>0</v>
      </c>
      <c r="E11" s="41">
        <v>3</v>
      </c>
      <c r="F11" s="39"/>
      <c r="G11" s="39">
        <v>0</v>
      </c>
      <c r="H11" s="39">
        <v>3</v>
      </c>
      <c r="I11" s="40"/>
      <c r="J11" s="39">
        <v>1</v>
      </c>
      <c r="K11" s="41">
        <v>2</v>
      </c>
      <c r="L11" s="40"/>
      <c r="M11" s="39">
        <v>1</v>
      </c>
      <c r="N11" s="41">
        <v>3</v>
      </c>
      <c r="O11" s="40"/>
      <c r="P11" s="39">
        <v>2</v>
      </c>
      <c r="Q11" s="41">
        <v>1</v>
      </c>
      <c r="R11" s="40"/>
      <c r="S11" s="39">
        <v>0</v>
      </c>
      <c r="T11" s="39">
        <v>3</v>
      </c>
      <c r="U11" s="40"/>
      <c r="V11" s="39">
        <v>0</v>
      </c>
      <c r="W11" s="41">
        <v>3</v>
      </c>
    </row>
    <row r="12" spans="1:23" x14ac:dyDescent="0.25">
      <c r="A12" s="39">
        <v>13</v>
      </c>
      <c r="B12" s="97" t="s">
        <v>195</v>
      </c>
      <c r="C12" s="99"/>
      <c r="D12" s="99"/>
      <c r="E12" s="100"/>
      <c r="F12" s="39"/>
      <c r="G12" s="39">
        <v>-1</v>
      </c>
      <c r="H12" s="39">
        <v>3</v>
      </c>
      <c r="I12" s="40"/>
      <c r="J12" s="39">
        <v>0</v>
      </c>
      <c r="K12" s="41">
        <v>1</v>
      </c>
      <c r="L12" s="40"/>
      <c r="M12" s="39">
        <v>1</v>
      </c>
      <c r="N12" s="41">
        <v>1</v>
      </c>
      <c r="O12" s="40"/>
      <c r="P12" s="39">
        <v>2</v>
      </c>
      <c r="Q12" s="41">
        <v>0</v>
      </c>
      <c r="R12" s="40"/>
      <c r="S12" s="39">
        <v>-2</v>
      </c>
      <c r="T12" s="39">
        <v>3</v>
      </c>
      <c r="U12" s="40"/>
      <c r="V12" s="39">
        <v>0</v>
      </c>
      <c r="W12" s="41">
        <v>2</v>
      </c>
    </row>
    <row r="13" spans="1:23" x14ac:dyDescent="0.25">
      <c r="A13" s="39">
        <v>13</v>
      </c>
      <c r="B13" s="102" t="s">
        <v>196</v>
      </c>
      <c r="C13" s="39"/>
      <c r="D13" s="39">
        <v>0</v>
      </c>
      <c r="E13" s="41">
        <v>3</v>
      </c>
      <c r="F13" s="40"/>
      <c r="G13" s="55"/>
      <c r="H13" s="41"/>
      <c r="I13" s="40"/>
      <c r="J13" s="55"/>
      <c r="K13" s="41"/>
      <c r="L13" s="106"/>
      <c r="M13" s="99"/>
      <c r="N13" s="100"/>
      <c r="O13" s="106"/>
      <c r="P13" s="99"/>
      <c r="Q13" s="100"/>
      <c r="R13" s="40"/>
      <c r="S13" s="39">
        <v>0</v>
      </c>
      <c r="T13" s="39">
        <v>3</v>
      </c>
      <c r="U13" s="40"/>
      <c r="V13" s="39">
        <v>0</v>
      </c>
      <c r="W13" s="41">
        <v>3</v>
      </c>
    </row>
    <row r="14" spans="1:23" x14ac:dyDescent="0.25">
      <c r="A14" s="39">
        <v>13</v>
      </c>
      <c r="B14" s="105" t="s">
        <v>197</v>
      </c>
      <c r="C14" s="39"/>
      <c r="D14" s="39">
        <v>0</v>
      </c>
      <c r="E14" s="41">
        <v>3</v>
      </c>
      <c r="F14" s="40"/>
      <c r="G14" s="39">
        <v>-1</v>
      </c>
      <c r="H14" s="41">
        <v>3</v>
      </c>
      <c r="I14" s="40"/>
      <c r="J14" s="39">
        <v>1</v>
      </c>
      <c r="K14" s="41">
        <v>2</v>
      </c>
      <c r="L14" s="40"/>
      <c r="M14" s="39">
        <v>1</v>
      </c>
      <c r="N14" s="41">
        <v>2</v>
      </c>
      <c r="O14" s="40"/>
      <c r="P14" s="39">
        <v>1</v>
      </c>
      <c r="Q14" s="41">
        <v>3</v>
      </c>
      <c r="R14" s="40"/>
      <c r="S14" s="39">
        <v>0</v>
      </c>
      <c r="T14" s="39">
        <v>3</v>
      </c>
      <c r="U14" s="40"/>
      <c r="V14" s="39">
        <v>0</v>
      </c>
      <c r="W14" s="41">
        <v>3</v>
      </c>
    </row>
    <row r="15" spans="1:23" x14ac:dyDescent="0.25">
      <c r="A15" s="39">
        <v>13</v>
      </c>
      <c r="B15" s="105" t="s">
        <v>108</v>
      </c>
      <c r="C15" s="39"/>
      <c r="D15" s="39">
        <v>0</v>
      </c>
      <c r="E15" s="41">
        <v>3</v>
      </c>
      <c r="F15" s="40"/>
      <c r="G15" s="39">
        <v>-1</v>
      </c>
      <c r="H15" s="41">
        <v>3</v>
      </c>
      <c r="I15" s="40"/>
      <c r="J15" s="39">
        <v>1</v>
      </c>
      <c r="K15" s="41">
        <v>2</v>
      </c>
      <c r="L15" s="40"/>
      <c r="M15" s="39">
        <v>1</v>
      </c>
      <c r="N15" s="41">
        <v>3</v>
      </c>
      <c r="O15" s="40"/>
      <c r="P15" s="39">
        <v>0</v>
      </c>
      <c r="Q15" s="41">
        <v>3</v>
      </c>
      <c r="R15" s="40"/>
      <c r="S15" s="39">
        <v>-1</v>
      </c>
      <c r="T15" s="39">
        <v>3</v>
      </c>
      <c r="U15" s="40"/>
      <c r="V15" s="39">
        <v>-1</v>
      </c>
      <c r="W15" s="41">
        <v>3</v>
      </c>
    </row>
    <row r="16" spans="1:23" x14ac:dyDescent="0.25">
      <c r="A16" s="39">
        <v>13</v>
      </c>
      <c r="B16" s="94" t="s">
        <v>110</v>
      </c>
      <c r="C16" s="39"/>
      <c r="D16" s="39">
        <v>0</v>
      </c>
      <c r="E16" s="41">
        <v>3</v>
      </c>
      <c r="F16" s="40"/>
      <c r="G16" s="39">
        <v>-1</v>
      </c>
      <c r="H16" s="41">
        <v>3</v>
      </c>
      <c r="I16" s="40"/>
      <c r="J16" s="39">
        <v>1</v>
      </c>
      <c r="K16" s="41">
        <v>2</v>
      </c>
      <c r="L16" s="40"/>
      <c r="M16" s="55"/>
      <c r="N16" s="41"/>
      <c r="O16" s="40"/>
      <c r="P16" s="39">
        <v>2</v>
      </c>
      <c r="Q16" s="41">
        <v>1</v>
      </c>
      <c r="R16" s="40"/>
      <c r="S16" s="39">
        <v>-2</v>
      </c>
      <c r="T16" s="39">
        <v>3</v>
      </c>
      <c r="U16" s="40"/>
      <c r="V16" s="39">
        <v>0</v>
      </c>
      <c r="W16" s="41">
        <v>3</v>
      </c>
    </row>
    <row r="17" spans="1:23" x14ac:dyDescent="0.25">
      <c r="A17" s="39">
        <v>13</v>
      </c>
      <c r="B17" s="104" t="s">
        <v>105</v>
      </c>
      <c r="C17" s="39"/>
      <c r="D17" s="39">
        <v>-1</v>
      </c>
      <c r="E17" s="41">
        <v>3</v>
      </c>
      <c r="F17" s="40"/>
      <c r="G17" s="96">
        <v>-1</v>
      </c>
      <c r="H17" s="41">
        <v>2</v>
      </c>
      <c r="I17" s="40"/>
      <c r="J17" s="39">
        <v>1</v>
      </c>
      <c r="K17" s="41">
        <v>1</v>
      </c>
      <c r="L17" s="40"/>
      <c r="M17" s="39">
        <v>0</v>
      </c>
      <c r="N17" s="41">
        <v>2</v>
      </c>
      <c r="O17" s="40"/>
      <c r="P17" s="39">
        <v>1</v>
      </c>
      <c r="Q17" s="41">
        <v>1</v>
      </c>
      <c r="R17" s="40"/>
      <c r="S17" s="39">
        <v>-2</v>
      </c>
      <c r="T17" s="39">
        <v>3</v>
      </c>
      <c r="U17" s="40"/>
      <c r="V17" s="39">
        <v>-1</v>
      </c>
      <c r="W17" s="41">
        <v>2</v>
      </c>
    </row>
    <row r="18" spans="1:23" x14ac:dyDescent="0.25">
      <c r="A18" s="39">
        <v>13</v>
      </c>
      <c r="B18" s="104" t="s">
        <v>154</v>
      </c>
      <c r="C18" s="39"/>
      <c r="D18" s="96">
        <v>-1</v>
      </c>
      <c r="E18" s="41">
        <v>2</v>
      </c>
      <c r="F18" s="40"/>
      <c r="G18" s="39">
        <v>-1</v>
      </c>
      <c r="H18" s="41">
        <v>3</v>
      </c>
      <c r="I18" s="40"/>
      <c r="J18" s="39">
        <v>0</v>
      </c>
      <c r="K18" s="41">
        <v>2</v>
      </c>
      <c r="L18" s="40"/>
      <c r="M18" s="39">
        <v>0</v>
      </c>
      <c r="N18" s="41">
        <v>2</v>
      </c>
      <c r="O18" s="40"/>
      <c r="P18" s="39">
        <v>0</v>
      </c>
      <c r="Q18" s="41">
        <v>1</v>
      </c>
      <c r="R18" s="40"/>
      <c r="S18" s="39">
        <v>-2</v>
      </c>
      <c r="T18" s="39">
        <v>3</v>
      </c>
      <c r="U18" s="40"/>
      <c r="V18" s="39">
        <v>-1</v>
      </c>
      <c r="W18" s="41">
        <v>2</v>
      </c>
    </row>
    <row r="19" spans="1:23" x14ac:dyDescent="0.25">
      <c r="A19" s="39">
        <v>13</v>
      </c>
      <c r="B19" s="104" t="s">
        <v>103</v>
      </c>
      <c r="C19" s="39"/>
      <c r="D19" s="39">
        <v>-1</v>
      </c>
      <c r="E19" s="41">
        <v>3</v>
      </c>
      <c r="F19" s="40"/>
      <c r="G19" s="39">
        <v>-1</v>
      </c>
      <c r="H19" s="41">
        <v>3</v>
      </c>
      <c r="I19" s="39"/>
      <c r="J19" s="39">
        <v>0</v>
      </c>
      <c r="K19" s="39">
        <v>3</v>
      </c>
      <c r="L19" s="40"/>
      <c r="M19" s="96">
        <v>0</v>
      </c>
      <c r="N19" s="41">
        <v>2</v>
      </c>
      <c r="O19" s="39"/>
      <c r="P19" s="39">
        <v>1</v>
      </c>
      <c r="Q19" s="39">
        <v>3</v>
      </c>
      <c r="R19" s="40"/>
      <c r="S19" s="39">
        <v>-2</v>
      </c>
      <c r="T19" s="39">
        <v>3</v>
      </c>
      <c r="U19" s="40"/>
      <c r="V19" s="39">
        <v>-1</v>
      </c>
      <c r="W19" s="41">
        <v>3</v>
      </c>
    </row>
    <row r="20" spans="1:23" x14ac:dyDescent="0.25">
      <c r="A20" s="39">
        <v>12</v>
      </c>
      <c r="B20" s="104" t="s">
        <v>107</v>
      </c>
      <c r="C20" s="39"/>
      <c r="D20" s="39">
        <v>0</v>
      </c>
      <c r="E20" s="41">
        <v>3</v>
      </c>
      <c r="F20" s="83"/>
      <c r="G20" s="39">
        <v>-1</v>
      </c>
      <c r="H20" s="41">
        <v>3</v>
      </c>
      <c r="I20" s="40"/>
      <c r="J20" s="39">
        <v>0</v>
      </c>
      <c r="K20" s="41">
        <v>1</v>
      </c>
      <c r="L20" s="40"/>
      <c r="M20" s="39">
        <v>1</v>
      </c>
      <c r="N20" s="41">
        <v>3</v>
      </c>
      <c r="O20" s="40"/>
      <c r="P20" s="39">
        <v>1</v>
      </c>
      <c r="Q20" s="41">
        <v>1</v>
      </c>
      <c r="R20" s="40"/>
      <c r="S20" s="39">
        <v>-2</v>
      </c>
      <c r="T20" s="39">
        <v>3</v>
      </c>
      <c r="U20" s="40"/>
      <c r="V20" s="39">
        <v>-1</v>
      </c>
      <c r="W20" s="41">
        <v>3</v>
      </c>
    </row>
    <row r="21" spans="1:23" x14ac:dyDescent="0.25">
      <c r="A21" s="39">
        <v>13</v>
      </c>
      <c r="B21" s="97" t="s">
        <v>102</v>
      </c>
      <c r="C21" s="99"/>
      <c r="D21" s="99"/>
      <c r="E21" s="100"/>
      <c r="F21" s="99"/>
      <c r="G21" s="99"/>
      <c r="H21" s="99"/>
      <c r="I21" s="40"/>
      <c r="J21" s="39">
        <v>1</v>
      </c>
      <c r="K21" s="41">
        <v>2</v>
      </c>
      <c r="L21" s="40"/>
      <c r="M21" s="55"/>
      <c r="N21" s="41"/>
      <c r="O21" s="40"/>
      <c r="P21" s="39">
        <v>1</v>
      </c>
      <c r="Q21" s="41">
        <v>2</v>
      </c>
      <c r="R21" s="40"/>
      <c r="S21" s="39">
        <v>-1</v>
      </c>
      <c r="T21" s="39">
        <v>3</v>
      </c>
      <c r="U21" s="40"/>
      <c r="V21" s="39">
        <v>0</v>
      </c>
      <c r="W21" s="41">
        <v>2</v>
      </c>
    </row>
    <row r="22" spans="1:23" x14ac:dyDescent="0.25">
      <c r="A22" s="39">
        <v>12</v>
      </c>
      <c r="B22" s="91" t="s">
        <v>156</v>
      </c>
      <c r="C22" s="39"/>
      <c r="D22" s="39">
        <v>0</v>
      </c>
      <c r="E22" s="41">
        <v>3</v>
      </c>
      <c r="F22" s="40"/>
      <c r="G22" s="39">
        <v>-1</v>
      </c>
      <c r="H22" s="41">
        <v>3</v>
      </c>
      <c r="I22" s="40"/>
      <c r="J22" s="39">
        <v>1</v>
      </c>
      <c r="K22" s="41">
        <v>3</v>
      </c>
      <c r="L22" s="40"/>
      <c r="M22" s="39">
        <v>1</v>
      </c>
      <c r="N22" s="41">
        <v>1</v>
      </c>
      <c r="O22" s="40"/>
      <c r="P22" s="39">
        <v>1</v>
      </c>
      <c r="Q22" s="41">
        <v>2</v>
      </c>
      <c r="R22" s="40"/>
      <c r="S22" s="39">
        <v>-2</v>
      </c>
      <c r="T22" s="39">
        <v>3</v>
      </c>
      <c r="U22" s="40"/>
      <c r="V22" s="39">
        <v>-1</v>
      </c>
      <c r="W22" s="41">
        <v>3</v>
      </c>
    </row>
    <row r="23" spans="1:23" x14ac:dyDescent="0.25">
      <c r="A23" s="39">
        <v>12</v>
      </c>
      <c r="B23" s="104" t="s">
        <v>121</v>
      </c>
      <c r="C23" s="39"/>
      <c r="D23" s="39">
        <v>0</v>
      </c>
      <c r="E23" s="41">
        <v>3</v>
      </c>
      <c r="F23" s="40"/>
      <c r="G23" s="39">
        <v>-1</v>
      </c>
      <c r="H23" s="41">
        <v>3</v>
      </c>
      <c r="I23" s="40"/>
      <c r="J23" s="39">
        <v>0</v>
      </c>
      <c r="K23" s="42">
        <v>3</v>
      </c>
      <c r="L23" s="40"/>
      <c r="M23" s="96">
        <v>1</v>
      </c>
      <c r="N23" s="41">
        <v>1</v>
      </c>
      <c r="O23" s="40"/>
      <c r="P23" s="39">
        <v>1</v>
      </c>
      <c r="Q23" s="42">
        <v>2</v>
      </c>
      <c r="R23" s="40"/>
      <c r="S23" s="39">
        <v>-2</v>
      </c>
      <c r="T23" s="39">
        <v>3</v>
      </c>
      <c r="U23" s="40"/>
      <c r="V23" s="39">
        <v>0</v>
      </c>
      <c r="W23" s="42">
        <v>2</v>
      </c>
    </row>
    <row r="24" spans="1:23" x14ac:dyDescent="0.25">
      <c r="A24" s="39">
        <v>12</v>
      </c>
      <c r="B24" s="104" t="s">
        <v>128</v>
      </c>
      <c r="C24" s="39"/>
      <c r="D24" s="96">
        <v>0</v>
      </c>
      <c r="E24" s="41">
        <v>2</v>
      </c>
      <c r="F24" s="40"/>
      <c r="G24" s="39">
        <v>-1</v>
      </c>
      <c r="H24" s="41">
        <v>3</v>
      </c>
      <c r="I24" s="40"/>
      <c r="J24" s="39">
        <v>0</v>
      </c>
      <c r="K24" s="41">
        <v>3</v>
      </c>
      <c r="L24" s="40"/>
      <c r="M24" s="39">
        <v>1</v>
      </c>
      <c r="N24" s="41">
        <v>1</v>
      </c>
      <c r="O24" s="40"/>
      <c r="P24" s="39">
        <v>1</v>
      </c>
      <c r="Q24" s="41">
        <v>1</v>
      </c>
      <c r="R24" s="40"/>
      <c r="S24" s="39">
        <v>-3</v>
      </c>
      <c r="T24" s="39">
        <v>3</v>
      </c>
      <c r="U24" s="40"/>
      <c r="V24" s="39">
        <v>0</v>
      </c>
      <c r="W24" s="41">
        <v>3</v>
      </c>
    </row>
    <row r="25" spans="1:23" x14ac:dyDescent="0.25">
      <c r="A25" s="39">
        <v>12</v>
      </c>
      <c r="B25" s="104" t="s">
        <v>198</v>
      </c>
      <c r="C25" s="39"/>
      <c r="D25" s="96">
        <v>0</v>
      </c>
      <c r="E25" s="41">
        <v>2</v>
      </c>
      <c r="F25" s="40"/>
      <c r="G25" s="39">
        <v>-1</v>
      </c>
      <c r="H25" s="41">
        <v>3</v>
      </c>
      <c r="I25" s="40"/>
      <c r="J25" s="39">
        <v>0</v>
      </c>
      <c r="K25" s="41">
        <v>3</v>
      </c>
      <c r="L25" s="40"/>
      <c r="M25" s="39">
        <v>1</v>
      </c>
      <c r="N25" s="41">
        <v>1</v>
      </c>
      <c r="O25" s="40"/>
      <c r="P25" s="39">
        <v>1</v>
      </c>
      <c r="Q25" s="41">
        <v>2</v>
      </c>
      <c r="R25" s="40"/>
      <c r="S25" s="39">
        <v>-3</v>
      </c>
      <c r="T25" s="39">
        <v>3</v>
      </c>
      <c r="U25" s="40"/>
      <c r="V25" s="39">
        <v>0</v>
      </c>
      <c r="W25" s="41">
        <v>3</v>
      </c>
    </row>
    <row r="26" spans="1:23" x14ac:dyDescent="0.25">
      <c r="A26" s="39">
        <v>12</v>
      </c>
      <c r="B26" s="91" t="s">
        <v>199</v>
      </c>
      <c r="C26" s="39"/>
      <c r="D26" s="39">
        <v>0</v>
      </c>
      <c r="E26" s="41">
        <v>3</v>
      </c>
      <c r="F26" s="40"/>
      <c r="G26" s="39">
        <v>-1</v>
      </c>
      <c r="H26" s="41">
        <v>3</v>
      </c>
      <c r="I26" s="39"/>
      <c r="J26" s="39">
        <v>0</v>
      </c>
      <c r="K26" s="39">
        <v>3</v>
      </c>
      <c r="L26" s="40"/>
      <c r="M26" s="39">
        <v>1</v>
      </c>
      <c r="N26" s="41">
        <v>2</v>
      </c>
      <c r="O26" s="39"/>
      <c r="P26" s="39">
        <v>1</v>
      </c>
      <c r="Q26" s="39">
        <v>1</v>
      </c>
      <c r="R26" s="40"/>
      <c r="S26" s="39">
        <v>-3</v>
      </c>
      <c r="T26" s="39">
        <v>3</v>
      </c>
      <c r="U26" s="40"/>
      <c r="V26" s="39">
        <v>0</v>
      </c>
      <c r="W26" s="41">
        <v>3</v>
      </c>
    </row>
    <row r="27" spans="1:23" x14ac:dyDescent="0.25">
      <c r="A27" s="39">
        <v>12</v>
      </c>
      <c r="B27" s="104" t="s">
        <v>180</v>
      </c>
      <c r="C27" s="39"/>
      <c r="D27" s="39">
        <v>0</v>
      </c>
      <c r="E27" s="41">
        <v>3</v>
      </c>
      <c r="F27" s="40"/>
      <c r="G27" s="39">
        <v>-1</v>
      </c>
      <c r="H27" s="41">
        <v>3</v>
      </c>
      <c r="I27" s="40"/>
      <c r="J27" s="39">
        <v>0</v>
      </c>
      <c r="K27" s="41">
        <v>3</v>
      </c>
      <c r="L27" s="40"/>
      <c r="M27" s="96">
        <v>0</v>
      </c>
      <c r="N27" s="41">
        <v>2</v>
      </c>
      <c r="O27" s="40"/>
      <c r="P27" s="39">
        <v>0</v>
      </c>
      <c r="Q27" s="41">
        <v>2</v>
      </c>
      <c r="R27" s="40" t="s">
        <v>200</v>
      </c>
      <c r="S27" s="39">
        <v>0</v>
      </c>
      <c r="T27" s="39">
        <v>1</v>
      </c>
      <c r="U27" s="40"/>
      <c r="V27" s="39">
        <v>-1</v>
      </c>
      <c r="W27" s="41">
        <v>3</v>
      </c>
    </row>
    <row r="28" spans="1:23" x14ac:dyDescent="0.25">
      <c r="A28" s="39">
        <v>12</v>
      </c>
      <c r="B28" s="91" t="s">
        <v>114</v>
      </c>
      <c r="C28" s="39"/>
      <c r="D28" s="39">
        <v>0</v>
      </c>
      <c r="E28" s="41">
        <v>3</v>
      </c>
      <c r="F28" s="40"/>
      <c r="G28" s="39">
        <v>-2</v>
      </c>
      <c r="H28" s="41">
        <v>3</v>
      </c>
      <c r="I28" s="40"/>
      <c r="J28" s="39">
        <v>0</v>
      </c>
      <c r="K28" s="41">
        <v>3</v>
      </c>
      <c r="L28" s="40"/>
      <c r="M28" s="39">
        <v>1</v>
      </c>
      <c r="N28" s="41">
        <v>3</v>
      </c>
      <c r="O28" s="40"/>
      <c r="P28" s="39">
        <v>1</v>
      </c>
      <c r="Q28" s="41">
        <v>1</v>
      </c>
      <c r="R28" s="40"/>
      <c r="S28" s="39">
        <v>-4</v>
      </c>
      <c r="T28" s="39">
        <v>3</v>
      </c>
      <c r="U28" s="40"/>
      <c r="V28" s="39">
        <v>0</v>
      </c>
      <c r="W28" s="41">
        <v>3</v>
      </c>
    </row>
    <row r="29" spans="1:23" x14ac:dyDescent="0.25">
      <c r="A29" s="39">
        <v>12</v>
      </c>
      <c r="B29" s="104" t="s">
        <v>125</v>
      </c>
      <c r="C29" s="39"/>
      <c r="D29" s="39">
        <v>-1</v>
      </c>
      <c r="E29" s="41">
        <v>3</v>
      </c>
      <c r="F29" s="40"/>
      <c r="G29" s="39">
        <v>-2</v>
      </c>
      <c r="H29" s="41">
        <v>3</v>
      </c>
      <c r="I29" s="40"/>
      <c r="J29" s="39">
        <v>0</v>
      </c>
      <c r="K29" s="41">
        <v>3</v>
      </c>
      <c r="L29" s="40"/>
      <c r="M29" s="96">
        <v>0</v>
      </c>
      <c r="N29" s="41">
        <v>2</v>
      </c>
      <c r="O29" s="40"/>
      <c r="P29" s="39">
        <v>0</v>
      </c>
      <c r="Q29" s="41">
        <v>3</v>
      </c>
      <c r="R29" s="40"/>
      <c r="S29" s="39">
        <v>-3</v>
      </c>
      <c r="T29" s="39">
        <v>3</v>
      </c>
      <c r="U29" s="40"/>
      <c r="V29" s="39">
        <v>0</v>
      </c>
      <c r="W29" s="41">
        <v>3</v>
      </c>
    </row>
    <row r="30" spans="1:23" x14ac:dyDescent="0.25">
      <c r="A30" s="39">
        <v>12</v>
      </c>
      <c r="B30" s="97" t="s">
        <v>201</v>
      </c>
      <c r="C30" s="99"/>
      <c r="D30" s="99"/>
      <c r="E30" s="100"/>
      <c r="F30" s="99"/>
      <c r="G30" s="99"/>
      <c r="H30" s="99"/>
      <c r="I30" s="99"/>
      <c r="J30" s="99"/>
      <c r="K30" s="99"/>
      <c r="L30" s="99"/>
      <c r="M30" s="99"/>
      <c r="N30" s="99"/>
      <c r="O30" s="40"/>
      <c r="P30" s="39">
        <v>0</v>
      </c>
      <c r="Q30" s="41">
        <v>3</v>
      </c>
      <c r="R30" s="40"/>
      <c r="S30" s="39">
        <v>-4</v>
      </c>
      <c r="T30" s="39">
        <v>3</v>
      </c>
      <c r="U30" s="40"/>
      <c r="V30" s="55"/>
      <c r="W30" s="41"/>
    </row>
    <row r="31" spans="1:23" x14ac:dyDescent="0.25">
      <c r="A31" s="39">
        <v>12</v>
      </c>
      <c r="B31" s="94" t="s">
        <v>124</v>
      </c>
      <c r="C31" s="39"/>
      <c r="D31" s="39">
        <v>-3</v>
      </c>
      <c r="E31" s="41">
        <v>3</v>
      </c>
      <c r="F31" s="40"/>
      <c r="G31" s="39">
        <v>-3</v>
      </c>
      <c r="H31" s="41">
        <v>3</v>
      </c>
      <c r="I31" s="40"/>
      <c r="J31" s="39">
        <v>0</v>
      </c>
      <c r="K31" s="41">
        <v>3</v>
      </c>
      <c r="L31" s="40"/>
      <c r="M31" s="55"/>
      <c r="N31" s="41"/>
      <c r="O31" s="40"/>
      <c r="P31" s="39">
        <v>-1</v>
      </c>
      <c r="Q31" s="41">
        <v>3</v>
      </c>
      <c r="R31" s="40"/>
      <c r="S31" s="39">
        <v>-4</v>
      </c>
      <c r="T31" s="39">
        <v>3</v>
      </c>
      <c r="U31" s="40"/>
      <c r="V31" s="39">
        <v>0</v>
      </c>
      <c r="W31" s="77">
        <v>2</v>
      </c>
    </row>
    <row r="32" spans="1:23" ht="15.75" customHeight="1" thickBot="1" x14ac:dyDescent="0.3">
      <c r="A32" s="39">
        <v>10</v>
      </c>
      <c r="B32" s="104" t="s">
        <v>202</v>
      </c>
      <c r="C32" s="39"/>
      <c r="D32" s="96"/>
      <c r="E32" s="41"/>
      <c r="F32" s="40"/>
      <c r="G32" s="39">
        <v>-2</v>
      </c>
      <c r="H32" s="41">
        <v>3</v>
      </c>
      <c r="I32" s="40"/>
      <c r="J32" s="39">
        <v>0</v>
      </c>
      <c r="K32" s="41">
        <v>3</v>
      </c>
      <c r="L32" s="40"/>
      <c r="M32" s="39">
        <v>1</v>
      </c>
      <c r="N32" s="41">
        <v>2</v>
      </c>
      <c r="O32" s="40"/>
      <c r="P32" s="39">
        <v>0</v>
      </c>
      <c r="Q32" s="41">
        <v>3</v>
      </c>
      <c r="R32" s="40"/>
      <c r="S32" s="39">
        <v>-4</v>
      </c>
      <c r="T32" s="39">
        <v>3</v>
      </c>
      <c r="U32" s="40"/>
      <c r="V32" s="39">
        <v>-1</v>
      </c>
      <c r="W32" s="41">
        <v>2</v>
      </c>
    </row>
    <row r="33" spans="1:23" ht="15.75" customHeight="1" thickBot="1" x14ac:dyDescent="0.3">
      <c r="A33" s="72"/>
      <c r="B33" s="7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</row>
    <row r="34" spans="1:23" ht="15.75" customHeight="1" thickBot="1" x14ac:dyDescent="0.3">
      <c r="A34" s="72"/>
      <c r="B34" s="7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72"/>
      <c r="U34" s="73"/>
      <c r="V34" s="43"/>
      <c r="W34" s="43"/>
    </row>
    <row r="35" spans="1:23" x14ac:dyDescent="0.25">
      <c r="A35" s="39">
        <v>13</v>
      </c>
      <c r="B35" s="97" t="s">
        <v>203</v>
      </c>
      <c r="C35" s="99"/>
      <c r="D35" s="99"/>
      <c r="E35" s="100"/>
      <c r="F35" s="99"/>
      <c r="G35" s="99"/>
      <c r="H35" s="99"/>
      <c r="I35" s="99"/>
      <c r="J35" s="99"/>
      <c r="K35" s="99"/>
      <c r="L35" s="40"/>
      <c r="M35" s="55"/>
      <c r="N35" s="41"/>
      <c r="O35" s="40"/>
      <c r="P35" s="39"/>
      <c r="Q35" s="41"/>
      <c r="R35" s="40"/>
      <c r="S35" s="39"/>
      <c r="T35" s="39"/>
      <c r="U35" s="40"/>
      <c r="V35" s="39"/>
      <c r="W35" s="41"/>
    </row>
    <row r="36" spans="1:23" x14ac:dyDescent="0.25">
      <c r="A36" s="39">
        <v>13</v>
      </c>
      <c r="B36" s="97" t="s">
        <v>204</v>
      </c>
      <c r="C36" s="99"/>
      <c r="D36" s="99"/>
      <c r="E36" s="100"/>
      <c r="F36" s="99"/>
      <c r="G36" s="99"/>
      <c r="H36" s="99"/>
      <c r="I36" s="99"/>
      <c r="J36" s="99"/>
      <c r="K36" s="99"/>
      <c r="L36" s="99"/>
      <c r="M36" s="99"/>
      <c r="N36" s="99"/>
      <c r="O36" s="40"/>
      <c r="P36" s="55"/>
      <c r="Q36" s="41"/>
      <c r="R36" s="40"/>
      <c r="S36" s="39"/>
      <c r="T36" s="39"/>
      <c r="U36" s="40"/>
      <c r="V36" s="39"/>
      <c r="W36" s="41"/>
    </row>
    <row r="37" spans="1:23" x14ac:dyDescent="0.25">
      <c r="A37" s="39">
        <v>13</v>
      </c>
      <c r="B37" s="97" t="s">
        <v>205</v>
      </c>
      <c r="C37" s="99"/>
      <c r="D37" s="99"/>
      <c r="E37" s="100"/>
      <c r="F37" s="99"/>
      <c r="G37" s="99"/>
      <c r="H37" s="99"/>
      <c r="I37" s="40"/>
      <c r="J37" s="55"/>
      <c r="K37" s="41"/>
      <c r="L37" s="40"/>
      <c r="M37" s="39"/>
      <c r="N37" s="41"/>
      <c r="O37" s="40"/>
      <c r="P37" s="39"/>
      <c r="Q37" s="41"/>
      <c r="R37" s="40"/>
      <c r="S37" s="39"/>
      <c r="T37" s="39"/>
      <c r="U37" s="40"/>
      <c r="V37" s="39"/>
      <c r="W37" s="41"/>
    </row>
    <row r="38" spans="1:23" x14ac:dyDescent="0.25">
      <c r="A38" s="39">
        <v>13</v>
      </c>
      <c r="B38" s="97" t="s">
        <v>206</v>
      </c>
      <c r="C38" s="99"/>
      <c r="D38" s="99"/>
      <c r="E38" s="100"/>
      <c r="F38" s="39"/>
      <c r="G38" s="55"/>
      <c r="H38" s="39"/>
      <c r="I38" s="40"/>
      <c r="J38" s="39"/>
      <c r="K38" s="41"/>
      <c r="L38" s="40"/>
      <c r="M38" s="39"/>
      <c r="N38" s="41"/>
      <c r="O38" s="40"/>
      <c r="P38" s="39"/>
      <c r="Q38" s="41"/>
      <c r="R38" s="40"/>
      <c r="S38" s="39"/>
      <c r="T38" s="39"/>
      <c r="U38" s="40"/>
      <c r="V38" s="39"/>
      <c r="W38" s="41"/>
    </row>
    <row r="39" spans="1:23" x14ac:dyDescent="0.25">
      <c r="A39" s="39">
        <v>13</v>
      </c>
      <c r="B39" s="97" t="s">
        <v>207</v>
      </c>
      <c r="C39" s="99"/>
      <c r="D39" s="99"/>
      <c r="E39" s="100"/>
      <c r="F39" s="99"/>
      <c r="G39" s="99"/>
      <c r="H39" s="99"/>
      <c r="I39" s="99"/>
      <c r="J39" s="99"/>
      <c r="K39" s="99"/>
      <c r="L39" s="40"/>
      <c r="M39" s="55"/>
      <c r="N39" s="41"/>
      <c r="O39" s="40"/>
      <c r="P39" s="39"/>
      <c r="Q39" s="41"/>
      <c r="R39" s="40"/>
      <c r="S39" s="39"/>
      <c r="T39" s="39"/>
      <c r="U39" s="40"/>
      <c r="V39" s="39"/>
      <c r="W39" s="41"/>
    </row>
    <row r="40" spans="1:23" x14ac:dyDescent="0.25">
      <c r="A40" s="39">
        <v>12</v>
      </c>
      <c r="B40" s="103" t="s">
        <v>208</v>
      </c>
      <c r="C40" s="99"/>
      <c r="D40" s="99"/>
      <c r="E40" s="100"/>
      <c r="F40" s="40"/>
      <c r="G40" s="55"/>
      <c r="H40" s="41"/>
      <c r="I40" s="39"/>
      <c r="J40" s="39"/>
      <c r="K40" s="39"/>
      <c r="L40" s="40"/>
      <c r="M40" s="39"/>
      <c r="N40" s="41"/>
      <c r="O40" s="39"/>
      <c r="P40" s="39"/>
      <c r="Q40" s="39"/>
      <c r="R40" s="40"/>
      <c r="S40" s="39"/>
      <c r="T40" s="39"/>
      <c r="U40" s="40"/>
      <c r="V40" s="39"/>
      <c r="W40" s="41"/>
    </row>
    <row r="41" spans="1:23" x14ac:dyDescent="0.25">
      <c r="A41" s="39">
        <v>13</v>
      </c>
      <c r="B41" s="94" t="s">
        <v>209</v>
      </c>
      <c r="C41" s="39"/>
      <c r="D41" s="55"/>
      <c r="E41" s="41"/>
      <c r="F41" s="40"/>
      <c r="G41" s="39"/>
      <c r="H41" s="41"/>
      <c r="I41" s="40"/>
      <c r="J41" s="39"/>
      <c r="K41" s="41"/>
      <c r="L41" s="40"/>
      <c r="M41" s="39"/>
      <c r="N41" s="41"/>
      <c r="O41" s="40"/>
      <c r="P41" s="39"/>
      <c r="Q41" s="41"/>
      <c r="R41" s="40"/>
      <c r="S41" s="39"/>
      <c r="T41" s="39"/>
      <c r="U41" s="40"/>
      <c r="V41" s="39"/>
      <c r="W41" s="41"/>
    </row>
    <row r="42" spans="1:23" x14ac:dyDescent="0.25">
      <c r="A42" s="39">
        <v>13</v>
      </c>
      <c r="B42" s="94" t="s">
        <v>177</v>
      </c>
      <c r="C42" s="39"/>
      <c r="D42" s="55"/>
      <c r="E42" s="41"/>
      <c r="F42" s="40"/>
      <c r="G42" s="39"/>
      <c r="H42" s="41"/>
      <c r="I42" s="40"/>
      <c r="J42" s="39"/>
      <c r="K42" s="41"/>
      <c r="L42" s="40"/>
      <c r="M42" s="39"/>
      <c r="N42" s="41"/>
      <c r="O42" s="40"/>
      <c r="P42" s="39"/>
      <c r="Q42" s="41"/>
      <c r="R42" s="40"/>
      <c r="S42" s="39"/>
      <c r="T42" s="39"/>
      <c r="U42" s="40"/>
      <c r="V42" s="39"/>
      <c r="W42" s="41"/>
    </row>
    <row r="43" spans="1:23" ht="15.75" customHeight="1" thickBot="1" x14ac:dyDescent="0.3">
      <c r="A43" s="39">
        <v>13</v>
      </c>
      <c r="B43" s="95" t="s">
        <v>117</v>
      </c>
      <c r="C43" s="39">
        <v>-17</v>
      </c>
      <c r="D43" s="50">
        <v>-4</v>
      </c>
      <c r="E43" s="41">
        <v>3</v>
      </c>
      <c r="F43" s="40"/>
      <c r="G43" s="39"/>
      <c r="H43" s="41"/>
      <c r="I43" s="40"/>
      <c r="J43" s="39"/>
      <c r="K43" s="41"/>
      <c r="L43" s="40"/>
      <c r="M43" s="39"/>
      <c r="N43" s="41"/>
      <c r="O43" s="40"/>
      <c r="P43" s="39"/>
      <c r="Q43" s="41"/>
      <c r="R43" s="40"/>
      <c r="S43" s="39"/>
      <c r="T43" s="39"/>
      <c r="U43" s="40"/>
      <c r="V43" s="39"/>
      <c r="W43" s="41"/>
    </row>
    <row r="44" spans="1:23" ht="15.75" customHeight="1" thickBot="1" x14ac:dyDescent="0.3">
      <c r="A44" s="72"/>
      <c r="B44" s="7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72"/>
      <c r="U44" s="73"/>
      <c r="V44" s="43"/>
      <c r="W44" s="43"/>
    </row>
    <row r="45" spans="1:23" ht="15.75" customHeight="1" thickBot="1" x14ac:dyDescent="0.3">
      <c r="A45" s="84"/>
      <c r="B45" s="92" t="s">
        <v>171</v>
      </c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72"/>
      <c r="U45" s="73"/>
      <c r="V45" s="43"/>
      <c r="W45" s="43"/>
    </row>
    <row r="46" spans="1:23" ht="15.75" customHeight="1" thickBot="1" x14ac:dyDescent="0.3">
      <c r="A46" s="85"/>
      <c r="B46" s="92" t="s">
        <v>172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72"/>
      <c r="U46" s="73"/>
      <c r="V46" s="43"/>
      <c r="W46" s="43"/>
    </row>
    <row r="47" spans="1:23" ht="15.75" customHeight="1" thickBot="1" x14ac:dyDescent="0.3">
      <c r="A47" s="86"/>
      <c r="B47" s="92" t="s">
        <v>173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72"/>
      <c r="U47" s="73"/>
      <c r="V47" s="43"/>
      <c r="W47" s="43"/>
    </row>
    <row r="48" spans="1:23" ht="15.75" customHeight="1" thickBot="1" x14ac:dyDescent="0.3">
      <c r="A48" s="87"/>
      <c r="B48" s="92" t="s">
        <v>187</v>
      </c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72"/>
      <c r="U48" s="73"/>
      <c r="V48" s="43"/>
      <c r="W48" s="43"/>
    </row>
    <row r="49" spans="1:23" ht="15.75" customHeight="1" thickBot="1" x14ac:dyDescent="0.3">
      <c r="A49" s="88"/>
      <c r="B49" s="92" t="s">
        <v>188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72"/>
      <c r="U49" s="73"/>
      <c r="V49" s="43"/>
      <c r="W49" s="43"/>
    </row>
    <row r="50" spans="1:23" ht="15.75" customHeight="1" thickBot="1" x14ac:dyDescent="0.3">
      <c r="A50" s="89"/>
      <c r="B50" s="92" t="s">
        <v>189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72"/>
      <c r="U50" s="73"/>
      <c r="V50" s="43"/>
      <c r="W50" s="43"/>
    </row>
    <row r="51" spans="1:23" ht="15.75" customHeight="1" thickBot="1" x14ac:dyDescent="0.3">
      <c r="A51" s="98"/>
      <c r="B51" s="92" t="s">
        <v>210</v>
      </c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72"/>
      <c r="U51" s="73"/>
      <c r="V51" s="43"/>
      <c r="W51" s="43"/>
    </row>
    <row r="52" spans="1:23" ht="15.75" customHeight="1" thickBot="1" x14ac:dyDescent="0.3">
      <c r="A52" s="101"/>
      <c r="B52" s="92" t="s">
        <v>211</v>
      </c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72"/>
      <c r="U52" s="73"/>
      <c r="V52" s="43"/>
      <c r="W52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paperSize="9" orientation="portrait" horizontalDpi="4294967293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47"/>
  <sheetViews>
    <sheetView workbookViewId="0">
      <selection activeCell="Y19" sqref="Y19"/>
    </sheetView>
  </sheetViews>
  <sheetFormatPr defaultRowHeight="15" x14ac:dyDescent="0.25"/>
  <cols>
    <col min="1" max="1" width="9.140625" style="4" customWidth="1"/>
    <col min="2" max="2" width="16.7109375" style="118" customWidth="1"/>
    <col min="3" max="8" width="9.140625" style="4" customWidth="1"/>
    <col min="9" max="9" width="9.140625" style="5" customWidth="1"/>
    <col min="10" max="10" width="9.140625" style="4" customWidth="1"/>
    <col min="11" max="11" width="9.140625" style="6" customWidth="1"/>
    <col min="12" max="12" width="9.140625" style="5" customWidth="1"/>
    <col min="13" max="13" width="9.140625" style="4" customWidth="1"/>
    <col min="14" max="14" width="9.140625" style="6" customWidth="1"/>
    <col min="15" max="17" width="9.140625" style="4" customWidth="1"/>
    <col min="18" max="18" width="9.140625" style="5" customWidth="1"/>
    <col min="19" max="19" width="9.140625" style="4" customWidth="1"/>
    <col min="20" max="20" width="9.140625" style="6" customWidth="1"/>
    <col min="21" max="21" width="9.140625" style="5" customWidth="1"/>
    <col min="22" max="22" width="9.140625" style="4" customWidth="1"/>
    <col min="23" max="23" width="9.140625" style="6" customWidth="1"/>
    <col min="24" max="25" width="9.140625" style="4" customWidth="1"/>
    <col min="26" max="16384" width="9.140625" style="4"/>
  </cols>
  <sheetData>
    <row r="1" spans="1:24" ht="15.75" customHeight="1" thickBot="1" x14ac:dyDescent="0.3">
      <c r="A1" s="39"/>
      <c r="B1" s="61"/>
      <c r="C1" s="126">
        <v>1</v>
      </c>
      <c r="D1" s="127"/>
      <c r="E1" s="128"/>
      <c r="F1" s="126">
        <v>2</v>
      </c>
      <c r="G1" s="127"/>
      <c r="H1" s="128"/>
      <c r="I1" s="126">
        <v>3</v>
      </c>
      <c r="J1" s="127"/>
      <c r="K1" s="128"/>
      <c r="L1" s="126">
        <v>4</v>
      </c>
      <c r="M1" s="127"/>
      <c r="N1" s="128"/>
      <c r="O1" s="126">
        <v>5</v>
      </c>
      <c r="P1" s="127"/>
      <c r="Q1" s="128"/>
      <c r="R1" s="126">
        <v>6</v>
      </c>
      <c r="S1" s="127"/>
      <c r="T1" s="128"/>
      <c r="U1" s="126">
        <v>7</v>
      </c>
      <c r="V1" s="127"/>
      <c r="W1" s="128"/>
    </row>
    <row r="2" spans="1:24" ht="15.75" customHeight="1" thickBot="1" x14ac:dyDescent="0.3">
      <c r="A2" s="36"/>
      <c r="B2" s="90" t="s">
        <v>138</v>
      </c>
      <c r="C2" s="36" t="s">
        <v>139</v>
      </c>
      <c r="D2" s="36" t="s">
        <v>140</v>
      </c>
      <c r="E2" s="38" t="s">
        <v>141</v>
      </c>
      <c r="F2" s="37" t="s">
        <v>139</v>
      </c>
      <c r="G2" s="36" t="s">
        <v>140</v>
      </c>
      <c r="H2" s="36" t="s">
        <v>141</v>
      </c>
      <c r="I2" s="37" t="s">
        <v>139</v>
      </c>
      <c r="J2" s="36" t="s">
        <v>140</v>
      </c>
      <c r="K2" s="38" t="s">
        <v>141</v>
      </c>
      <c r="L2" s="37" t="s">
        <v>139</v>
      </c>
      <c r="M2" s="36" t="s">
        <v>140</v>
      </c>
      <c r="N2" s="38" t="s">
        <v>141</v>
      </c>
      <c r="O2" s="36" t="s">
        <v>139</v>
      </c>
      <c r="P2" s="36" t="s">
        <v>140</v>
      </c>
      <c r="Q2" s="36" t="s">
        <v>141</v>
      </c>
      <c r="R2" s="37" t="s">
        <v>139</v>
      </c>
      <c r="S2" s="36" t="s">
        <v>140</v>
      </c>
      <c r="T2" s="38" t="s">
        <v>141</v>
      </c>
      <c r="U2" s="37" t="s">
        <v>139</v>
      </c>
      <c r="V2" s="36" t="s">
        <v>140</v>
      </c>
      <c r="W2" s="38" t="s">
        <v>141</v>
      </c>
    </row>
    <row r="3" spans="1:24" x14ac:dyDescent="0.25">
      <c r="A3" s="39">
        <v>17</v>
      </c>
      <c r="B3" s="113" t="s">
        <v>129</v>
      </c>
      <c r="C3" s="39"/>
      <c r="D3" s="39">
        <v>1</v>
      </c>
      <c r="E3" s="41">
        <v>2</v>
      </c>
      <c r="F3" s="40"/>
      <c r="G3" s="114">
        <v>1</v>
      </c>
      <c r="H3" s="39">
        <v>3</v>
      </c>
      <c r="I3" s="40"/>
      <c r="J3" s="39">
        <v>-1</v>
      </c>
      <c r="K3" s="6">
        <v>3</v>
      </c>
      <c r="L3" s="40"/>
      <c r="M3" s="39">
        <v>0</v>
      </c>
      <c r="N3" s="41">
        <v>2</v>
      </c>
      <c r="O3" s="39"/>
      <c r="P3" s="39">
        <v>1</v>
      </c>
      <c r="Q3" s="39">
        <v>2</v>
      </c>
      <c r="R3" s="40"/>
      <c r="S3" s="39">
        <v>1</v>
      </c>
      <c r="T3" s="41">
        <v>3</v>
      </c>
      <c r="U3" s="40"/>
      <c r="V3" s="39">
        <v>-2</v>
      </c>
      <c r="W3" s="41">
        <v>3</v>
      </c>
      <c r="X3" s="4" t="s">
        <v>212</v>
      </c>
    </row>
    <row r="4" spans="1:24" x14ac:dyDescent="0.25">
      <c r="A4" s="39">
        <v>15</v>
      </c>
      <c r="B4" s="113" t="s">
        <v>190</v>
      </c>
      <c r="C4" s="39"/>
      <c r="D4" s="39">
        <v>1</v>
      </c>
      <c r="E4" s="41">
        <v>2</v>
      </c>
      <c r="F4" s="40">
        <v>-1</v>
      </c>
      <c r="G4" s="39">
        <v>0</v>
      </c>
      <c r="H4" s="39">
        <v>3</v>
      </c>
      <c r="I4" s="40"/>
      <c r="J4" s="39">
        <v>1</v>
      </c>
      <c r="K4" s="6">
        <v>2</v>
      </c>
      <c r="L4" s="40"/>
      <c r="M4" s="39">
        <v>2</v>
      </c>
      <c r="N4" s="41">
        <v>2</v>
      </c>
      <c r="O4" s="39"/>
      <c r="P4" s="39">
        <v>1</v>
      </c>
      <c r="Q4" s="39">
        <v>3</v>
      </c>
      <c r="R4" s="40"/>
      <c r="S4" s="39">
        <v>1</v>
      </c>
      <c r="T4" s="41">
        <v>2</v>
      </c>
      <c r="U4" s="40"/>
      <c r="V4" s="39">
        <v>-1</v>
      </c>
      <c r="W4" s="41">
        <v>3</v>
      </c>
      <c r="X4" s="4" t="s">
        <v>212</v>
      </c>
    </row>
    <row r="5" spans="1:24" x14ac:dyDescent="0.25">
      <c r="A5" s="39">
        <v>14</v>
      </c>
      <c r="B5" s="113" t="s">
        <v>213</v>
      </c>
      <c r="C5" s="39"/>
      <c r="D5" s="112">
        <v>1</v>
      </c>
      <c r="E5" s="41">
        <v>3</v>
      </c>
      <c r="F5" s="40"/>
      <c r="G5" s="114">
        <v>1</v>
      </c>
      <c r="H5" s="39">
        <v>3</v>
      </c>
      <c r="I5" s="40"/>
      <c r="J5" s="39">
        <v>2</v>
      </c>
      <c r="K5" s="6">
        <v>1</v>
      </c>
      <c r="L5" s="40"/>
      <c r="M5" s="39">
        <v>3</v>
      </c>
      <c r="N5" s="41">
        <v>2</v>
      </c>
      <c r="O5" s="39"/>
      <c r="P5" s="39">
        <v>1</v>
      </c>
      <c r="Q5" s="39">
        <v>2</v>
      </c>
      <c r="R5" s="40"/>
      <c r="S5" s="39">
        <v>1</v>
      </c>
      <c r="T5" s="41">
        <v>2</v>
      </c>
      <c r="U5" s="40"/>
      <c r="V5" s="39">
        <v>0</v>
      </c>
      <c r="W5" s="41">
        <v>3</v>
      </c>
      <c r="X5" s="4" t="s">
        <v>212</v>
      </c>
    </row>
    <row r="6" spans="1:24" x14ac:dyDescent="0.25">
      <c r="A6" s="39">
        <v>14</v>
      </c>
      <c r="B6" s="104" t="s">
        <v>122</v>
      </c>
      <c r="C6" s="39"/>
      <c r="D6" s="39">
        <v>1</v>
      </c>
      <c r="E6" s="41">
        <v>2</v>
      </c>
      <c r="F6" s="40"/>
      <c r="G6" s="39">
        <v>1</v>
      </c>
      <c r="H6" s="39">
        <v>2</v>
      </c>
      <c r="I6" s="40"/>
      <c r="J6" s="96">
        <v>0</v>
      </c>
      <c r="K6" s="6">
        <v>1</v>
      </c>
      <c r="L6" s="40"/>
      <c r="M6" s="39">
        <v>2</v>
      </c>
      <c r="N6" s="41">
        <v>1</v>
      </c>
      <c r="O6" s="39"/>
      <c r="P6" s="39">
        <v>0</v>
      </c>
      <c r="Q6" s="39">
        <v>2</v>
      </c>
      <c r="R6" s="40"/>
      <c r="S6" s="39">
        <v>0</v>
      </c>
      <c r="T6" s="41">
        <v>2</v>
      </c>
      <c r="U6" s="40"/>
      <c r="V6" s="39">
        <v>0</v>
      </c>
      <c r="W6" s="41">
        <v>3</v>
      </c>
      <c r="X6" s="4" t="s">
        <v>214</v>
      </c>
    </row>
    <row r="7" spans="1:24" x14ac:dyDescent="0.25">
      <c r="A7" s="39">
        <v>14</v>
      </c>
      <c r="B7" s="104" t="s">
        <v>126</v>
      </c>
      <c r="C7" s="39"/>
      <c r="D7" s="39">
        <v>1</v>
      </c>
      <c r="E7" s="41">
        <v>2</v>
      </c>
      <c r="F7" s="40"/>
      <c r="G7" s="39">
        <v>-1</v>
      </c>
      <c r="H7" s="39">
        <v>3</v>
      </c>
      <c r="I7" s="40"/>
      <c r="J7" s="96">
        <v>0</v>
      </c>
      <c r="K7" s="6">
        <v>1</v>
      </c>
      <c r="L7" s="40"/>
      <c r="M7" s="39">
        <v>2</v>
      </c>
      <c r="N7" s="41">
        <v>2</v>
      </c>
      <c r="O7" s="39"/>
      <c r="P7" s="39">
        <v>0</v>
      </c>
      <c r="Q7" s="39">
        <v>2</v>
      </c>
      <c r="R7" s="40"/>
      <c r="S7" s="39">
        <v>-1</v>
      </c>
      <c r="T7" s="41">
        <v>3</v>
      </c>
      <c r="U7" s="40"/>
      <c r="V7" s="39">
        <v>-1</v>
      </c>
      <c r="W7" s="41">
        <v>3</v>
      </c>
      <c r="X7" s="4" t="s">
        <v>214</v>
      </c>
    </row>
    <row r="8" spans="1:24" x14ac:dyDescent="0.25">
      <c r="A8" s="39">
        <v>14</v>
      </c>
      <c r="B8" s="91" t="s">
        <v>120</v>
      </c>
      <c r="C8" s="39"/>
      <c r="D8" s="39">
        <v>0</v>
      </c>
      <c r="E8" s="41">
        <v>3</v>
      </c>
      <c r="F8" s="40"/>
      <c r="G8" s="39">
        <v>-1</v>
      </c>
      <c r="H8" s="39">
        <v>3</v>
      </c>
      <c r="I8" s="40"/>
      <c r="J8" s="39">
        <v>1</v>
      </c>
      <c r="K8" s="6">
        <v>2</v>
      </c>
      <c r="L8" s="40"/>
      <c r="M8" s="39">
        <v>2</v>
      </c>
      <c r="N8" s="41">
        <v>2</v>
      </c>
      <c r="O8" s="39"/>
      <c r="P8" s="39">
        <v>0</v>
      </c>
      <c r="Q8" s="39">
        <v>3</v>
      </c>
      <c r="R8" s="40"/>
      <c r="S8" s="39">
        <v>1</v>
      </c>
      <c r="T8" s="41">
        <v>3</v>
      </c>
      <c r="U8" s="40"/>
      <c r="V8" s="39">
        <v>0</v>
      </c>
      <c r="W8" s="41">
        <v>3</v>
      </c>
      <c r="X8" s="4" t="s">
        <v>212</v>
      </c>
    </row>
    <row r="9" spans="1:24" x14ac:dyDescent="0.25">
      <c r="A9" s="39">
        <v>14</v>
      </c>
      <c r="B9" s="104" t="s">
        <v>113</v>
      </c>
      <c r="C9" s="39"/>
      <c r="D9" s="39">
        <v>0</v>
      </c>
      <c r="E9" s="41">
        <v>3</v>
      </c>
      <c r="F9" s="39"/>
      <c r="G9" s="39">
        <v>-1</v>
      </c>
      <c r="H9" s="39">
        <v>3</v>
      </c>
      <c r="I9" s="40"/>
      <c r="J9" s="119">
        <v>0</v>
      </c>
      <c r="K9" s="6">
        <v>2</v>
      </c>
      <c r="L9" s="40"/>
      <c r="M9" s="39">
        <v>1</v>
      </c>
      <c r="N9" s="41">
        <v>2</v>
      </c>
      <c r="O9" s="39"/>
      <c r="P9" s="39">
        <v>0</v>
      </c>
      <c r="Q9" s="39">
        <v>3</v>
      </c>
      <c r="R9" s="40"/>
      <c r="S9" s="39">
        <v>-1</v>
      </c>
      <c r="T9" s="41">
        <v>3</v>
      </c>
      <c r="U9" s="40"/>
      <c r="V9" s="39">
        <v>-1</v>
      </c>
      <c r="W9" s="41">
        <v>3</v>
      </c>
      <c r="X9" s="4" t="s">
        <v>212</v>
      </c>
    </row>
    <row r="10" spans="1:24" x14ac:dyDescent="0.25">
      <c r="A10" s="39">
        <v>14</v>
      </c>
      <c r="B10" s="104" t="s">
        <v>94</v>
      </c>
      <c r="C10" s="39"/>
      <c r="D10" s="39">
        <v>0</v>
      </c>
      <c r="E10" s="41">
        <v>2</v>
      </c>
      <c r="F10" s="40"/>
      <c r="G10" s="96">
        <v>-1</v>
      </c>
      <c r="H10" s="39">
        <v>2</v>
      </c>
      <c r="I10" s="40"/>
      <c r="J10" s="119">
        <v>0</v>
      </c>
      <c r="K10" s="6">
        <v>2</v>
      </c>
      <c r="L10" s="40"/>
      <c r="M10" s="96">
        <v>0</v>
      </c>
      <c r="N10" s="41">
        <v>2</v>
      </c>
      <c r="O10" s="39"/>
      <c r="P10" s="96">
        <v>0</v>
      </c>
      <c r="Q10" s="39">
        <v>2</v>
      </c>
      <c r="R10" s="40"/>
      <c r="S10" s="39">
        <v>-1</v>
      </c>
      <c r="T10" s="41">
        <v>3</v>
      </c>
      <c r="U10" s="40"/>
      <c r="V10" s="39">
        <v>-1</v>
      </c>
      <c r="W10" s="41">
        <v>3</v>
      </c>
      <c r="X10" s="4" t="s">
        <v>214</v>
      </c>
    </row>
    <row r="11" spans="1:24" x14ac:dyDescent="0.25">
      <c r="A11" s="39">
        <v>14</v>
      </c>
      <c r="B11" s="104" t="s">
        <v>109</v>
      </c>
      <c r="C11" s="39"/>
      <c r="D11" s="39">
        <v>-1</v>
      </c>
      <c r="E11" s="41">
        <v>3</v>
      </c>
      <c r="F11" s="39"/>
      <c r="G11" s="39">
        <v>-1</v>
      </c>
      <c r="H11" s="39">
        <v>3</v>
      </c>
      <c r="I11" s="40"/>
      <c r="J11" s="4">
        <v>0</v>
      </c>
      <c r="K11" s="6">
        <v>3</v>
      </c>
      <c r="L11" s="40"/>
      <c r="M11" s="96">
        <v>0</v>
      </c>
      <c r="N11" s="41">
        <v>1</v>
      </c>
      <c r="O11" s="39"/>
      <c r="P11" s="39">
        <v>0</v>
      </c>
      <c r="Q11" s="39">
        <v>3</v>
      </c>
      <c r="R11" s="40"/>
      <c r="S11" s="39">
        <v>-1</v>
      </c>
      <c r="T11" s="41">
        <v>3</v>
      </c>
      <c r="U11" s="40"/>
      <c r="V11" s="39">
        <v>-1</v>
      </c>
      <c r="W11" s="41">
        <v>3</v>
      </c>
      <c r="X11" s="4" t="s">
        <v>214</v>
      </c>
    </row>
    <row r="12" spans="1:24" x14ac:dyDescent="0.25">
      <c r="A12" s="39">
        <v>14</v>
      </c>
      <c r="B12" s="104" t="s">
        <v>106</v>
      </c>
      <c r="C12" s="39"/>
      <c r="D12" s="39">
        <v>0</v>
      </c>
      <c r="E12" s="41">
        <v>3</v>
      </c>
      <c r="F12" s="40"/>
      <c r="G12" s="39">
        <v>-1</v>
      </c>
      <c r="H12" s="39">
        <v>3</v>
      </c>
      <c r="I12" s="40"/>
      <c r="J12" s="119">
        <v>0</v>
      </c>
      <c r="K12" s="6">
        <v>2</v>
      </c>
      <c r="L12" s="40"/>
      <c r="M12" s="39">
        <v>-2</v>
      </c>
      <c r="N12" s="41">
        <v>3</v>
      </c>
      <c r="O12" s="39"/>
      <c r="P12" s="39">
        <v>-1</v>
      </c>
      <c r="Q12" s="39">
        <v>3</v>
      </c>
      <c r="R12" s="40"/>
      <c r="S12" s="39">
        <v>-1</v>
      </c>
      <c r="T12" s="41">
        <v>3</v>
      </c>
      <c r="U12" s="40"/>
      <c r="V12" s="39">
        <v>-1</v>
      </c>
      <c r="W12" s="41">
        <v>3</v>
      </c>
      <c r="X12" s="4" t="s">
        <v>214</v>
      </c>
    </row>
    <row r="13" spans="1:24" x14ac:dyDescent="0.25">
      <c r="A13" s="39">
        <v>14</v>
      </c>
      <c r="B13" s="102" t="s">
        <v>112</v>
      </c>
      <c r="C13" s="39"/>
      <c r="D13" s="96">
        <v>-1</v>
      </c>
      <c r="E13" s="41">
        <v>0</v>
      </c>
      <c r="F13" s="40"/>
      <c r="G13" s="96">
        <v>-1</v>
      </c>
      <c r="H13" s="39">
        <v>1</v>
      </c>
      <c r="I13" s="40"/>
      <c r="J13" s="119">
        <v>0</v>
      </c>
      <c r="K13" s="41">
        <v>2</v>
      </c>
      <c r="L13" s="40"/>
      <c r="M13" s="55"/>
      <c r="N13" s="41"/>
      <c r="O13" s="39"/>
      <c r="P13" s="39">
        <v>-1</v>
      </c>
      <c r="Q13" s="39">
        <v>3</v>
      </c>
      <c r="R13" s="40"/>
      <c r="S13" s="39">
        <v>-1</v>
      </c>
      <c r="T13" s="41">
        <v>3</v>
      </c>
      <c r="U13" s="40"/>
      <c r="V13" s="39">
        <v>-1</v>
      </c>
      <c r="W13" s="41">
        <v>3</v>
      </c>
      <c r="X13" s="4" t="s">
        <v>214</v>
      </c>
    </row>
    <row r="14" spans="1:24" x14ac:dyDescent="0.25">
      <c r="A14" s="39">
        <v>13</v>
      </c>
      <c r="B14" s="113" t="s">
        <v>123</v>
      </c>
      <c r="C14" s="39"/>
      <c r="D14" s="39">
        <v>0</v>
      </c>
      <c r="E14" s="41">
        <v>3</v>
      </c>
      <c r="F14" s="40"/>
      <c r="G14" s="39">
        <v>0</v>
      </c>
      <c r="H14" s="39">
        <v>3</v>
      </c>
      <c r="I14" s="40"/>
      <c r="J14" s="112">
        <v>1</v>
      </c>
      <c r="K14" s="41">
        <v>3</v>
      </c>
      <c r="L14" s="40"/>
      <c r="M14" s="39">
        <v>-1</v>
      </c>
      <c r="N14" s="41">
        <v>3</v>
      </c>
      <c r="O14" s="39"/>
      <c r="P14" s="39">
        <v>0</v>
      </c>
      <c r="Q14" s="39">
        <v>3</v>
      </c>
      <c r="R14" s="40"/>
      <c r="S14" s="39">
        <v>0</v>
      </c>
      <c r="T14" s="41">
        <v>3</v>
      </c>
      <c r="U14" s="40"/>
      <c r="V14" s="39">
        <v>-1</v>
      </c>
      <c r="W14" s="41">
        <v>3</v>
      </c>
      <c r="X14" s="4" t="s">
        <v>212</v>
      </c>
    </row>
    <row r="15" spans="1:24" x14ac:dyDescent="0.25">
      <c r="A15" s="39">
        <v>14</v>
      </c>
      <c r="B15" s="115" t="s">
        <v>196</v>
      </c>
      <c r="C15" s="39"/>
      <c r="D15" s="39">
        <v>-1</v>
      </c>
      <c r="E15" s="41">
        <v>3</v>
      </c>
      <c r="F15" s="40"/>
      <c r="G15" s="55"/>
      <c r="H15" s="39"/>
      <c r="I15" s="40"/>
      <c r="J15" s="119">
        <v>0</v>
      </c>
      <c r="K15" s="41">
        <v>2</v>
      </c>
      <c r="L15" s="40"/>
      <c r="M15" s="55"/>
      <c r="N15" s="41"/>
      <c r="O15" s="39"/>
      <c r="P15" s="39">
        <v>0</v>
      </c>
      <c r="Q15" s="39">
        <v>3</v>
      </c>
      <c r="R15" s="40"/>
      <c r="S15" s="55"/>
      <c r="T15" s="41"/>
      <c r="U15" s="40"/>
      <c r="V15" s="39">
        <v>-1</v>
      </c>
      <c r="W15" s="41">
        <v>3</v>
      </c>
      <c r="X15" s="4" t="s">
        <v>214</v>
      </c>
    </row>
    <row r="16" spans="1:24" x14ac:dyDescent="0.25">
      <c r="A16" s="39">
        <v>13</v>
      </c>
      <c r="B16" s="113" t="s">
        <v>108</v>
      </c>
      <c r="C16" s="39"/>
      <c r="D16" s="39">
        <v>-1</v>
      </c>
      <c r="E16" s="41">
        <v>3</v>
      </c>
      <c r="F16" s="40"/>
      <c r="G16" s="39">
        <v>-1</v>
      </c>
      <c r="H16" s="39">
        <v>3</v>
      </c>
      <c r="I16" s="40"/>
      <c r="J16" s="112">
        <v>1</v>
      </c>
      <c r="K16" s="41">
        <v>3</v>
      </c>
      <c r="L16" s="40"/>
      <c r="M16" s="39">
        <v>-1</v>
      </c>
      <c r="N16" s="41">
        <v>3</v>
      </c>
      <c r="O16" s="39"/>
      <c r="P16" s="39">
        <v>0</v>
      </c>
      <c r="Q16" s="39">
        <v>3</v>
      </c>
      <c r="R16" s="40"/>
      <c r="S16" s="39">
        <v>0</v>
      </c>
      <c r="T16" s="41">
        <v>3</v>
      </c>
      <c r="U16" s="40"/>
      <c r="V16" s="39">
        <v>-1</v>
      </c>
      <c r="W16" s="41">
        <v>3</v>
      </c>
      <c r="X16" s="4" t="s">
        <v>212</v>
      </c>
    </row>
    <row r="17" spans="1:24" x14ac:dyDescent="0.25">
      <c r="A17" s="39">
        <v>13</v>
      </c>
      <c r="B17" s="91" t="s">
        <v>110</v>
      </c>
      <c r="C17" s="39"/>
      <c r="D17" s="39">
        <v>-1</v>
      </c>
      <c r="E17" s="41">
        <v>3</v>
      </c>
      <c r="F17" s="83"/>
      <c r="G17" s="39">
        <v>-1</v>
      </c>
      <c r="H17" s="39">
        <v>3</v>
      </c>
      <c r="I17" s="40"/>
      <c r="J17" s="39">
        <v>-1</v>
      </c>
      <c r="K17" s="41">
        <v>3</v>
      </c>
      <c r="L17" s="40"/>
      <c r="M17" s="39">
        <v>-1</v>
      </c>
      <c r="N17" s="41">
        <v>3</v>
      </c>
      <c r="O17" s="39"/>
      <c r="P17" s="39">
        <v>-1</v>
      </c>
      <c r="Q17" s="39">
        <v>3</v>
      </c>
      <c r="R17" s="40"/>
      <c r="S17" s="39">
        <v>-1</v>
      </c>
      <c r="T17" s="41">
        <v>3</v>
      </c>
      <c r="U17" s="40"/>
      <c r="V17" s="39">
        <v>-1</v>
      </c>
      <c r="W17" s="41">
        <v>3</v>
      </c>
    </row>
    <row r="18" spans="1:24" x14ac:dyDescent="0.25">
      <c r="A18" s="39">
        <v>13</v>
      </c>
      <c r="B18" s="91" t="s">
        <v>107</v>
      </c>
      <c r="C18" s="39"/>
      <c r="D18" s="39">
        <v>-1</v>
      </c>
      <c r="E18" s="41">
        <v>3</v>
      </c>
      <c r="F18" s="39"/>
      <c r="G18" s="39">
        <v>-1</v>
      </c>
      <c r="H18" s="39">
        <v>3</v>
      </c>
      <c r="I18" s="40"/>
      <c r="J18" s="39">
        <v>-1</v>
      </c>
      <c r="K18" s="41">
        <v>3</v>
      </c>
      <c r="L18" s="40"/>
      <c r="M18" s="39">
        <v>-1</v>
      </c>
      <c r="N18" s="41">
        <v>3</v>
      </c>
      <c r="O18" s="39"/>
      <c r="P18" s="39">
        <v>-1</v>
      </c>
      <c r="Q18" s="39">
        <v>3</v>
      </c>
      <c r="R18" s="40"/>
      <c r="S18" s="39">
        <v>-1</v>
      </c>
      <c r="T18" s="41">
        <v>3</v>
      </c>
      <c r="U18" s="40"/>
      <c r="V18" s="39">
        <v>-1</v>
      </c>
      <c r="W18" s="41">
        <v>3</v>
      </c>
    </row>
    <row r="19" spans="1:24" x14ac:dyDescent="0.25">
      <c r="A19" s="39">
        <v>13</v>
      </c>
      <c r="B19" s="91" t="s">
        <v>121</v>
      </c>
      <c r="C19" s="39"/>
      <c r="D19" s="39">
        <v>-1</v>
      </c>
      <c r="E19" s="41">
        <v>3</v>
      </c>
      <c r="F19" s="40"/>
      <c r="G19" s="39">
        <v>-1</v>
      </c>
      <c r="H19" s="39">
        <v>3</v>
      </c>
      <c r="I19" s="40"/>
      <c r="J19" s="39">
        <v>-1</v>
      </c>
      <c r="K19" s="41">
        <v>3</v>
      </c>
      <c r="L19" s="40"/>
      <c r="M19" s="39">
        <v>-1</v>
      </c>
      <c r="N19" s="41">
        <v>3</v>
      </c>
      <c r="O19" s="39"/>
      <c r="P19" s="39">
        <v>-1</v>
      </c>
      <c r="Q19" s="39">
        <v>3</v>
      </c>
      <c r="R19" s="40"/>
      <c r="S19" s="39">
        <v>0</v>
      </c>
      <c r="T19" s="41">
        <v>3</v>
      </c>
      <c r="U19" s="40"/>
      <c r="V19" s="39">
        <v>-1</v>
      </c>
      <c r="W19" s="41">
        <v>3</v>
      </c>
      <c r="X19" s="4" t="s">
        <v>214</v>
      </c>
    </row>
    <row r="20" spans="1:24" x14ac:dyDescent="0.25">
      <c r="A20" s="39">
        <v>13</v>
      </c>
      <c r="B20" s="104" t="s">
        <v>215</v>
      </c>
      <c r="C20" s="39"/>
      <c r="D20" s="39">
        <v>-1</v>
      </c>
      <c r="E20" s="41">
        <v>3</v>
      </c>
      <c r="F20" s="40"/>
      <c r="G20" s="39">
        <v>-1</v>
      </c>
      <c r="H20" s="39">
        <v>3</v>
      </c>
      <c r="I20" s="40"/>
      <c r="J20" s="39">
        <v>-1</v>
      </c>
      <c r="K20" s="42">
        <v>3</v>
      </c>
      <c r="L20" s="40"/>
      <c r="M20" s="39">
        <v>-1</v>
      </c>
      <c r="N20" s="42">
        <v>3</v>
      </c>
      <c r="O20" s="39"/>
      <c r="P20" s="39">
        <v>-1</v>
      </c>
      <c r="Q20" s="39">
        <v>3</v>
      </c>
      <c r="R20" s="40"/>
      <c r="S20" s="96">
        <v>-1</v>
      </c>
      <c r="T20" s="41">
        <v>2</v>
      </c>
      <c r="U20" s="40"/>
      <c r="V20" s="39">
        <v>-1</v>
      </c>
      <c r="W20" s="41">
        <v>3</v>
      </c>
      <c r="X20" s="4" t="s">
        <v>214</v>
      </c>
    </row>
    <row r="21" spans="1:24" x14ac:dyDescent="0.25">
      <c r="A21" s="39">
        <v>13</v>
      </c>
      <c r="B21" s="91" t="s">
        <v>156</v>
      </c>
      <c r="C21" s="39"/>
      <c r="D21" s="39">
        <v>-1</v>
      </c>
      <c r="E21" s="41">
        <v>3</v>
      </c>
      <c r="F21" s="40"/>
      <c r="G21" s="39">
        <v>-1</v>
      </c>
      <c r="H21" s="39">
        <v>3</v>
      </c>
      <c r="I21" s="40"/>
      <c r="J21" s="39">
        <v>-1</v>
      </c>
      <c r="K21" s="42">
        <v>3</v>
      </c>
      <c r="L21" s="40"/>
      <c r="M21" s="39">
        <v>-1</v>
      </c>
      <c r="N21" s="42">
        <v>3</v>
      </c>
      <c r="O21" s="39"/>
      <c r="P21" s="39">
        <v>-1</v>
      </c>
      <c r="Q21" s="39">
        <v>3</v>
      </c>
      <c r="R21" s="40"/>
      <c r="S21" s="39">
        <v>-1</v>
      </c>
      <c r="T21" s="41">
        <v>3</v>
      </c>
      <c r="U21" s="40"/>
      <c r="V21" s="39">
        <v>-1</v>
      </c>
      <c r="W21" s="41">
        <v>3</v>
      </c>
    </row>
    <row r="22" spans="1:24" x14ac:dyDescent="0.25">
      <c r="A22" s="39">
        <v>13</v>
      </c>
      <c r="B22" s="91" t="s">
        <v>198</v>
      </c>
      <c r="C22" s="39"/>
      <c r="D22" s="39">
        <v>-1</v>
      </c>
      <c r="E22" s="41">
        <v>3</v>
      </c>
      <c r="F22" s="40"/>
      <c r="G22" s="39">
        <v>-1</v>
      </c>
      <c r="H22" s="39">
        <v>3</v>
      </c>
      <c r="I22" s="40"/>
      <c r="J22" s="39">
        <v>-1</v>
      </c>
      <c r="K22" s="42">
        <v>3</v>
      </c>
      <c r="L22" s="40"/>
      <c r="M22" s="39">
        <v>-1</v>
      </c>
      <c r="N22" s="42">
        <v>3</v>
      </c>
      <c r="O22" s="39"/>
      <c r="P22" s="39">
        <v>-1</v>
      </c>
      <c r="Q22" s="39">
        <v>3</v>
      </c>
      <c r="R22" s="40"/>
      <c r="S22" s="39">
        <v>-1</v>
      </c>
      <c r="T22" s="41">
        <v>3</v>
      </c>
      <c r="U22" s="40"/>
      <c r="V22" s="39">
        <v>-1</v>
      </c>
      <c r="W22" s="41">
        <v>3</v>
      </c>
    </row>
    <row r="23" spans="1:24" x14ac:dyDescent="0.25">
      <c r="A23" s="39">
        <v>13</v>
      </c>
      <c r="B23" s="91" t="s">
        <v>199</v>
      </c>
      <c r="C23" s="39">
        <v>12</v>
      </c>
      <c r="D23" s="39">
        <v>0</v>
      </c>
      <c r="E23" s="41">
        <v>3</v>
      </c>
      <c r="F23" s="40"/>
      <c r="G23" s="39">
        <v>-1</v>
      </c>
      <c r="H23" s="39">
        <v>3</v>
      </c>
      <c r="I23" s="40"/>
      <c r="J23" s="39">
        <v>0</v>
      </c>
      <c r="K23" s="41">
        <v>3</v>
      </c>
      <c r="L23" s="40"/>
      <c r="M23" s="39">
        <v>-1</v>
      </c>
      <c r="N23" s="41">
        <v>3</v>
      </c>
      <c r="O23" s="39"/>
      <c r="P23" s="39">
        <v>-1</v>
      </c>
      <c r="Q23" s="39">
        <v>3</v>
      </c>
      <c r="R23" s="40"/>
      <c r="S23" s="39">
        <v>-1</v>
      </c>
      <c r="T23" s="41">
        <v>3</v>
      </c>
      <c r="U23" s="40"/>
      <c r="V23" s="39">
        <v>-1</v>
      </c>
      <c r="W23" s="41">
        <v>3</v>
      </c>
    </row>
    <row r="24" spans="1:24" x14ac:dyDescent="0.25">
      <c r="A24" s="39">
        <v>13</v>
      </c>
      <c r="B24" s="94" t="s">
        <v>102</v>
      </c>
      <c r="C24" s="39"/>
      <c r="D24" s="39">
        <v>-1</v>
      </c>
      <c r="E24" s="41">
        <v>3</v>
      </c>
      <c r="F24" s="40"/>
      <c r="G24" s="39">
        <v>-1</v>
      </c>
      <c r="H24" s="39">
        <v>3</v>
      </c>
      <c r="I24" s="40"/>
      <c r="J24" s="39">
        <v>-2</v>
      </c>
      <c r="K24" s="41">
        <v>3</v>
      </c>
      <c r="L24" s="40"/>
      <c r="M24" s="39">
        <v>-2</v>
      </c>
      <c r="N24" s="41">
        <v>3</v>
      </c>
      <c r="O24" s="39"/>
      <c r="P24" s="55"/>
      <c r="Q24" s="39"/>
      <c r="R24" s="40"/>
      <c r="S24" s="39">
        <v>-1</v>
      </c>
      <c r="T24" s="41">
        <v>3</v>
      </c>
      <c r="U24" s="40"/>
      <c r="V24" s="39">
        <v>-1</v>
      </c>
      <c r="W24" s="41">
        <v>3</v>
      </c>
    </row>
    <row r="25" spans="1:24" x14ac:dyDescent="0.25">
      <c r="A25" s="39">
        <v>13</v>
      </c>
      <c r="B25" s="91" t="s">
        <v>103</v>
      </c>
      <c r="C25" s="39"/>
      <c r="D25" s="39">
        <v>-1</v>
      </c>
      <c r="E25" s="41">
        <v>3</v>
      </c>
      <c r="F25" s="40"/>
      <c r="G25" s="39">
        <v>-1</v>
      </c>
      <c r="H25" s="39">
        <v>3</v>
      </c>
      <c r="I25" s="40"/>
      <c r="J25" s="39">
        <v>-2</v>
      </c>
      <c r="K25" s="41">
        <v>3</v>
      </c>
      <c r="L25" s="40"/>
      <c r="M25" s="39">
        <v>-2</v>
      </c>
      <c r="N25" s="41">
        <v>3</v>
      </c>
      <c r="O25" s="39"/>
      <c r="P25" s="39">
        <v>-1</v>
      </c>
      <c r="Q25" s="39">
        <v>3</v>
      </c>
      <c r="R25" s="40"/>
      <c r="S25" s="39">
        <v>-1</v>
      </c>
      <c r="T25" s="41">
        <v>3</v>
      </c>
      <c r="U25" s="40"/>
      <c r="V25" s="39">
        <v>-1</v>
      </c>
      <c r="W25" s="41">
        <v>3</v>
      </c>
    </row>
    <row r="26" spans="1:24" x14ac:dyDescent="0.25">
      <c r="A26" s="39">
        <v>12</v>
      </c>
      <c r="B26" s="91" t="s">
        <v>178</v>
      </c>
      <c r="C26" s="39"/>
      <c r="D26" s="39">
        <v>0</v>
      </c>
      <c r="E26" s="41">
        <v>3</v>
      </c>
      <c r="F26" s="40"/>
      <c r="G26" s="39">
        <v>0</v>
      </c>
      <c r="H26" s="39">
        <v>3</v>
      </c>
      <c r="I26" s="40"/>
      <c r="J26" s="39">
        <v>-2</v>
      </c>
      <c r="K26" s="41">
        <v>3</v>
      </c>
      <c r="L26" s="40"/>
      <c r="M26" s="39">
        <v>-2</v>
      </c>
      <c r="N26" s="41">
        <v>3</v>
      </c>
      <c r="O26" s="39"/>
      <c r="P26" s="39">
        <v>0</v>
      </c>
      <c r="Q26" s="39">
        <v>3</v>
      </c>
      <c r="R26" s="40"/>
      <c r="S26" s="39">
        <v>0</v>
      </c>
      <c r="T26" s="41">
        <v>3</v>
      </c>
      <c r="U26" s="40"/>
      <c r="V26" s="39">
        <v>0</v>
      </c>
      <c r="W26" s="41">
        <v>3</v>
      </c>
    </row>
    <row r="27" spans="1:24" x14ac:dyDescent="0.25">
      <c r="A27" s="39">
        <v>12</v>
      </c>
      <c r="B27" s="91" t="s">
        <v>114</v>
      </c>
      <c r="C27" s="39"/>
      <c r="D27" s="39">
        <v>-1</v>
      </c>
      <c r="E27" s="41">
        <v>3</v>
      </c>
      <c r="F27" s="39"/>
      <c r="G27" s="39">
        <v>0</v>
      </c>
      <c r="H27" s="39">
        <v>3</v>
      </c>
      <c r="I27" s="40"/>
      <c r="J27" s="39">
        <v>-2</v>
      </c>
      <c r="K27" s="41">
        <v>3</v>
      </c>
      <c r="L27" s="40"/>
      <c r="M27" s="39">
        <v>-3</v>
      </c>
      <c r="N27" s="41">
        <v>3</v>
      </c>
      <c r="O27" s="39"/>
      <c r="P27" s="39">
        <v>-1</v>
      </c>
      <c r="Q27" s="39">
        <v>3</v>
      </c>
      <c r="R27" s="40"/>
      <c r="S27" s="39">
        <v>0</v>
      </c>
      <c r="T27" s="41">
        <v>3</v>
      </c>
      <c r="U27" s="40"/>
      <c r="V27" s="39">
        <v>0</v>
      </c>
      <c r="W27" s="41">
        <v>3</v>
      </c>
    </row>
    <row r="28" spans="1:24" x14ac:dyDescent="0.25">
      <c r="A28" s="39">
        <v>12</v>
      </c>
      <c r="B28" s="91" t="s">
        <v>125</v>
      </c>
      <c r="C28" s="39"/>
      <c r="D28" s="39">
        <v>-1</v>
      </c>
      <c r="E28" s="41">
        <v>3</v>
      </c>
      <c r="F28" s="40"/>
      <c r="G28" s="39">
        <v>-1</v>
      </c>
      <c r="H28" s="39">
        <v>3</v>
      </c>
      <c r="I28" s="40"/>
      <c r="J28" s="39">
        <v>-2</v>
      </c>
      <c r="K28" s="41">
        <v>3</v>
      </c>
      <c r="L28" s="40"/>
      <c r="M28" s="39">
        <v>-3</v>
      </c>
      <c r="N28" s="41">
        <v>3</v>
      </c>
      <c r="O28" s="39"/>
      <c r="P28" s="39">
        <v>-1</v>
      </c>
      <c r="Q28" s="39">
        <v>3</v>
      </c>
      <c r="R28" s="40"/>
      <c r="S28" s="39">
        <v>0</v>
      </c>
      <c r="T28" s="41">
        <v>3</v>
      </c>
      <c r="U28" s="40"/>
      <c r="V28" s="39">
        <v>0</v>
      </c>
      <c r="W28" s="77">
        <v>2</v>
      </c>
      <c r="X28" s="4" t="s">
        <v>214</v>
      </c>
    </row>
    <row r="29" spans="1:24" ht="15.75" customHeight="1" thickBot="1" x14ac:dyDescent="0.3">
      <c r="A29" s="39">
        <v>12</v>
      </c>
      <c r="B29" s="91" t="s">
        <v>124</v>
      </c>
      <c r="C29" s="39"/>
      <c r="D29" s="39">
        <v>-4</v>
      </c>
      <c r="E29" s="41">
        <v>3</v>
      </c>
      <c r="F29" s="40"/>
      <c r="G29" s="39">
        <v>-1</v>
      </c>
      <c r="H29" s="39">
        <v>3</v>
      </c>
      <c r="I29" s="40"/>
      <c r="J29" s="39">
        <v>-2</v>
      </c>
      <c r="K29" s="41">
        <v>3</v>
      </c>
      <c r="L29" s="40"/>
      <c r="M29" s="39">
        <v>-3</v>
      </c>
      <c r="N29" s="41">
        <v>3</v>
      </c>
      <c r="O29" s="39"/>
      <c r="P29" s="39">
        <v>-2</v>
      </c>
      <c r="Q29" s="39">
        <v>3</v>
      </c>
      <c r="R29" s="40"/>
      <c r="S29" s="39">
        <v>-1</v>
      </c>
      <c r="T29" s="41">
        <v>3</v>
      </c>
      <c r="U29" s="40"/>
      <c r="V29" s="39">
        <v>0</v>
      </c>
      <c r="W29" s="41">
        <v>3</v>
      </c>
    </row>
    <row r="30" spans="1:24" ht="15.75" customHeight="1" thickBot="1" x14ac:dyDescent="0.3">
      <c r="A30" s="39">
        <v>11</v>
      </c>
      <c r="B30" s="91" t="s">
        <v>202</v>
      </c>
      <c r="C30" s="39"/>
      <c r="D30" s="101"/>
      <c r="E30" s="101"/>
      <c r="F30" s="39"/>
      <c r="G30" s="39">
        <v>-2</v>
      </c>
      <c r="H30" s="39">
        <v>3</v>
      </c>
      <c r="I30" s="40"/>
      <c r="J30" s="101"/>
      <c r="K30" s="101"/>
      <c r="L30" s="40"/>
      <c r="M30" s="101"/>
      <c r="N30" s="101"/>
      <c r="O30" s="39"/>
      <c r="P30" s="101"/>
      <c r="Q30" s="101"/>
      <c r="R30" s="40"/>
      <c r="S30" s="39">
        <v>-1</v>
      </c>
      <c r="T30" s="41">
        <v>3</v>
      </c>
      <c r="U30" s="40"/>
      <c r="V30" s="39">
        <v>0</v>
      </c>
      <c r="W30" s="41">
        <v>3</v>
      </c>
      <c r="X30" s="4" t="s">
        <v>214</v>
      </c>
    </row>
    <row r="31" spans="1:24" ht="15.75" customHeight="1" thickBot="1" x14ac:dyDescent="0.3">
      <c r="A31" s="39">
        <v>12</v>
      </c>
      <c r="B31" s="91" t="s">
        <v>216</v>
      </c>
      <c r="C31" s="39"/>
      <c r="D31" s="101"/>
      <c r="E31" s="101"/>
      <c r="F31" s="39"/>
      <c r="G31" s="39">
        <v>-2</v>
      </c>
      <c r="H31" s="39">
        <v>3</v>
      </c>
      <c r="I31" s="40"/>
      <c r="J31" s="39">
        <v>-4</v>
      </c>
      <c r="K31" s="41">
        <v>3</v>
      </c>
      <c r="L31" s="40"/>
      <c r="M31" s="39">
        <v>-4</v>
      </c>
      <c r="N31" s="41">
        <v>3</v>
      </c>
      <c r="O31" s="39"/>
      <c r="P31" s="39">
        <v>-4</v>
      </c>
      <c r="Q31" s="39">
        <v>3</v>
      </c>
      <c r="R31" s="40"/>
      <c r="S31" s="39">
        <v>-1</v>
      </c>
      <c r="T31" s="41">
        <v>3</v>
      </c>
      <c r="U31" s="40"/>
      <c r="V31" s="39">
        <v>1</v>
      </c>
      <c r="W31" s="41">
        <v>1</v>
      </c>
      <c r="X31" s="4" t="s">
        <v>214</v>
      </c>
    </row>
    <row r="32" spans="1:24" ht="15.75" customHeight="1" thickBot="1" x14ac:dyDescent="0.3">
      <c r="A32" s="72"/>
      <c r="B32" s="73"/>
      <c r="C32" s="43"/>
      <c r="D32" s="43"/>
      <c r="E32" s="43"/>
      <c r="F32" s="43"/>
      <c r="G32" s="43"/>
      <c r="H32" s="72"/>
      <c r="I32" s="73"/>
      <c r="J32" s="43"/>
      <c r="K32" s="43"/>
      <c r="L32" s="73"/>
      <c r="M32" s="43"/>
      <c r="N32" s="43"/>
      <c r="O32" s="43"/>
      <c r="P32" s="43"/>
      <c r="Q32" s="72"/>
      <c r="R32" s="73"/>
      <c r="S32" s="43"/>
      <c r="T32" s="43"/>
      <c r="U32" s="73"/>
      <c r="V32" s="43"/>
      <c r="W32" s="43"/>
    </row>
    <row r="33" spans="1:23" ht="15.75" customHeight="1" thickBot="1" x14ac:dyDescent="0.3">
      <c r="A33" s="72"/>
      <c r="B33" s="73"/>
      <c r="C33" s="43"/>
      <c r="D33" s="43"/>
      <c r="E33" s="43"/>
      <c r="F33" s="43"/>
      <c r="G33" s="43"/>
      <c r="H33" s="72"/>
      <c r="I33" s="73"/>
      <c r="J33" s="43"/>
      <c r="K33" s="43"/>
      <c r="L33" s="73"/>
      <c r="M33" s="43"/>
      <c r="N33" s="43"/>
      <c r="O33" s="43"/>
      <c r="P33" s="43"/>
      <c r="Q33" s="72"/>
      <c r="R33" s="73"/>
      <c r="S33" s="43"/>
      <c r="T33" s="43"/>
      <c r="U33" s="73"/>
      <c r="V33" s="43"/>
      <c r="W33" s="43"/>
    </row>
    <row r="34" spans="1:23" ht="15.75" customHeight="1" thickBot="1" x14ac:dyDescent="0.3">
      <c r="A34" s="39">
        <v>13</v>
      </c>
      <c r="B34" s="94" t="s">
        <v>217</v>
      </c>
      <c r="C34" s="39"/>
      <c r="D34" s="55"/>
      <c r="E34" s="41"/>
      <c r="F34" s="40"/>
      <c r="G34" s="39"/>
      <c r="H34" s="39"/>
      <c r="I34" s="40"/>
      <c r="J34" s="39"/>
      <c r="K34" s="41"/>
      <c r="L34" s="40"/>
      <c r="M34" s="39"/>
      <c r="N34" s="41"/>
      <c r="O34" s="39"/>
      <c r="P34" s="39"/>
      <c r="Q34" s="39"/>
      <c r="R34" s="40"/>
      <c r="S34" s="39"/>
      <c r="T34" s="41"/>
      <c r="U34" s="40"/>
      <c r="V34" s="39"/>
      <c r="W34" s="41"/>
    </row>
    <row r="35" spans="1:23" ht="15.75" customHeight="1" thickBot="1" x14ac:dyDescent="0.3">
      <c r="A35" s="39">
        <v>14</v>
      </c>
      <c r="B35" s="94" t="s">
        <v>105</v>
      </c>
      <c r="C35" s="39"/>
      <c r="D35" s="55"/>
      <c r="E35" s="41"/>
      <c r="F35" s="40"/>
      <c r="G35" s="101"/>
      <c r="H35" s="101"/>
      <c r="I35" s="40"/>
      <c r="J35" s="55"/>
      <c r="K35" s="41"/>
      <c r="L35" s="40"/>
      <c r="M35" s="55"/>
      <c r="N35" s="41"/>
      <c r="O35" s="39"/>
      <c r="P35" s="39"/>
      <c r="Q35" s="39"/>
      <c r="R35" s="40"/>
      <c r="S35" s="39"/>
      <c r="T35" s="41"/>
      <c r="U35" s="40"/>
      <c r="V35" s="39"/>
      <c r="W35" s="41"/>
    </row>
    <row r="36" spans="1:23" ht="15.75" customHeight="1" thickBot="1" x14ac:dyDescent="0.3">
      <c r="A36" s="39">
        <v>14</v>
      </c>
      <c r="B36" s="94" t="s">
        <v>105</v>
      </c>
      <c r="C36" s="39"/>
      <c r="D36" s="55"/>
      <c r="E36" s="41"/>
      <c r="F36" s="40"/>
      <c r="I36" s="40"/>
      <c r="J36" s="101"/>
      <c r="K36" s="101"/>
      <c r="L36" s="40"/>
      <c r="M36" s="55"/>
      <c r="N36" s="41"/>
      <c r="O36" s="39"/>
      <c r="P36" s="55"/>
      <c r="Q36" s="39"/>
      <c r="R36" s="40"/>
      <c r="S36" s="39"/>
      <c r="T36" s="41"/>
      <c r="U36" s="40"/>
      <c r="V36" s="39"/>
      <c r="W36" s="41"/>
    </row>
    <row r="37" spans="1:23" ht="15.75" customHeight="1" thickBot="1" x14ac:dyDescent="0.3">
      <c r="A37" s="39">
        <v>13</v>
      </c>
      <c r="B37" s="95" t="s">
        <v>218</v>
      </c>
      <c r="C37" s="39">
        <v>-12</v>
      </c>
      <c r="D37" s="50">
        <v>-2</v>
      </c>
      <c r="E37" s="41">
        <v>3</v>
      </c>
      <c r="F37" s="40"/>
      <c r="G37" s="101"/>
      <c r="H37" s="101"/>
      <c r="I37" s="40"/>
      <c r="J37" s="96">
        <v>-2</v>
      </c>
      <c r="K37" s="41">
        <v>1</v>
      </c>
      <c r="L37" s="40"/>
      <c r="M37" s="39">
        <v>-1</v>
      </c>
      <c r="N37" s="41">
        <v>3</v>
      </c>
      <c r="O37" s="39"/>
      <c r="P37" s="39">
        <v>-2</v>
      </c>
      <c r="Q37" s="39">
        <v>3</v>
      </c>
      <c r="R37" s="40">
        <v>-16</v>
      </c>
      <c r="S37" s="39">
        <v>-2</v>
      </c>
      <c r="T37" s="41">
        <v>3</v>
      </c>
      <c r="U37" s="40"/>
      <c r="V37" s="39"/>
      <c r="W37" s="41"/>
    </row>
    <row r="38" spans="1:23" ht="15.75" customHeight="1" thickBot="1" x14ac:dyDescent="0.3">
      <c r="A38" s="39">
        <v>13</v>
      </c>
      <c r="B38" s="94" t="s">
        <v>219</v>
      </c>
      <c r="C38" s="39"/>
      <c r="D38" s="101"/>
      <c r="E38" s="101"/>
      <c r="F38" s="39"/>
      <c r="G38" s="55"/>
      <c r="H38" s="39"/>
      <c r="I38" s="40"/>
      <c r="J38" s="55"/>
      <c r="K38" s="41"/>
      <c r="L38" s="40"/>
      <c r="M38" s="39"/>
      <c r="N38" s="41"/>
      <c r="O38" s="39"/>
      <c r="P38" s="39"/>
      <c r="Q38" s="39"/>
      <c r="R38" s="40"/>
      <c r="S38" s="39"/>
      <c r="T38" s="41"/>
      <c r="U38" s="40"/>
      <c r="V38" s="39"/>
      <c r="W38" s="41"/>
    </row>
    <row r="39" spans="1:23" ht="15.75" customHeight="1" thickBot="1" x14ac:dyDescent="0.3">
      <c r="A39" s="72"/>
      <c r="B39" s="73"/>
      <c r="C39" s="43"/>
      <c r="D39" s="43"/>
      <c r="E39" s="43"/>
      <c r="F39" s="43"/>
      <c r="G39" s="43"/>
      <c r="H39" s="72"/>
      <c r="I39" s="73"/>
      <c r="J39" s="43"/>
      <c r="K39" s="43"/>
      <c r="L39" s="73"/>
      <c r="M39" s="43"/>
      <c r="N39" s="43"/>
      <c r="O39" s="43"/>
      <c r="P39" s="43"/>
      <c r="Q39" s="72"/>
      <c r="R39" s="73"/>
      <c r="S39" s="43"/>
      <c r="T39" s="43"/>
      <c r="U39" s="73"/>
      <c r="V39" s="43"/>
      <c r="W39" s="43"/>
    </row>
    <row r="40" spans="1:23" ht="15.75" customHeight="1" thickBot="1" x14ac:dyDescent="0.3">
      <c r="A40" s="84"/>
      <c r="B40" s="92" t="s">
        <v>171</v>
      </c>
      <c r="C40" s="43"/>
      <c r="D40" s="43"/>
      <c r="E40" s="43"/>
      <c r="F40" s="43"/>
      <c r="G40" s="43"/>
      <c r="H40" s="72"/>
      <c r="I40" s="73"/>
      <c r="J40" s="43"/>
      <c r="K40" s="43"/>
      <c r="L40" s="73"/>
      <c r="M40" s="43"/>
      <c r="N40" s="43"/>
      <c r="O40" s="43"/>
      <c r="P40" s="43"/>
      <c r="Q40" s="72"/>
      <c r="R40" s="73"/>
      <c r="S40" s="43"/>
      <c r="T40" s="43"/>
      <c r="U40" s="73"/>
      <c r="V40" s="43"/>
      <c r="W40" s="43"/>
    </row>
    <row r="41" spans="1:23" ht="15.75" customHeight="1" thickBot="1" x14ac:dyDescent="0.3">
      <c r="A41" s="117"/>
      <c r="B41" s="92" t="s">
        <v>220</v>
      </c>
      <c r="C41" s="43"/>
      <c r="D41" s="43"/>
      <c r="E41" s="43"/>
      <c r="F41" s="43"/>
      <c r="G41" s="43"/>
      <c r="H41" s="72"/>
      <c r="I41" s="73"/>
      <c r="J41" s="43"/>
      <c r="K41" s="43"/>
      <c r="L41" s="73"/>
      <c r="M41" s="43"/>
      <c r="N41" s="43"/>
      <c r="O41" s="43"/>
      <c r="P41" s="43"/>
      <c r="Q41" s="72"/>
      <c r="R41" s="73"/>
      <c r="S41" s="43"/>
      <c r="T41" s="43"/>
      <c r="U41" s="73"/>
      <c r="V41" s="43"/>
      <c r="W41" s="43"/>
    </row>
    <row r="42" spans="1:23" ht="15.75" customHeight="1" thickBot="1" x14ac:dyDescent="0.3">
      <c r="A42" s="86"/>
      <c r="B42" s="92" t="s">
        <v>173</v>
      </c>
      <c r="C42" s="43"/>
      <c r="D42" s="43"/>
      <c r="E42" s="43"/>
      <c r="F42" s="43"/>
      <c r="G42" s="43"/>
      <c r="H42" s="72"/>
      <c r="I42" s="73"/>
      <c r="J42" s="43"/>
      <c r="K42" s="43"/>
      <c r="L42" s="73"/>
      <c r="M42" s="43"/>
      <c r="N42" s="43"/>
      <c r="O42" s="43"/>
      <c r="P42" s="43"/>
      <c r="Q42" s="72"/>
      <c r="R42" s="73"/>
      <c r="S42" s="43"/>
      <c r="T42" s="43"/>
      <c r="U42" s="73"/>
      <c r="V42" s="43"/>
      <c r="W42" s="43"/>
    </row>
    <row r="43" spans="1:23" ht="15.75" customHeight="1" thickBot="1" x14ac:dyDescent="0.3">
      <c r="A43" s="116"/>
      <c r="B43" s="92" t="s">
        <v>188</v>
      </c>
      <c r="C43" s="43"/>
      <c r="D43" s="43"/>
      <c r="E43" s="43"/>
      <c r="F43" s="43"/>
      <c r="G43" s="43"/>
      <c r="H43" s="72"/>
      <c r="I43" s="73"/>
      <c r="J43" s="43"/>
      <c r="K43" s="43"/>
      <c r="L43" s="73"/>
      <c r="M43" s="43"/>
      <c r="N43" s="43"/>
      <c r="O43" s="43"/>
      <c r="P43" s="43"/>
      <c r="Q43" s="72"/>
      <c r="R43" s="73"/>
      <c r="S43" s="43"/>
      <c r="T43" s="43"/>
      <c r="U43" s="73"/>
      <c r="V43" s="43"/>
      <c r="W43" s="43"/>
    </row>
    <row r="44" spans="1:23" ht="15.75" customHeight="1" thickBot="1" x14ac:dyDescent="0.3">
      <c r="A44" s="88"/>
      <c r="B44" s="92" t="s">
        <v>188</v>
      </c>
      <c r="C44" s="43"/>
      <c r="D44" s="43"/>
      <c r="E44" s="43"/>
      <c r="F44" s="43"/>
      <c r="G44" s="43"/>
      <c r="H44" s="72"/>
      <c r="I44" s="73"/>
      <c r="J44" s="43"/>
      <c r="K44" s="43"/>
      <c r="L44" s="73"/>
      <c r="M44" s="43"/>
      <c r="N44" s="43"/>
      <c r="O44" s="43"/>
      <c r="P44" s="43"/>
      <c r="Q44" s="72"/>
      <c r="R44" s="73"/>
      <c r="S44" s="43"/>
      <c r="T44" s="43"/>
      <c r="U44" s="73"/>
      <c r="V44" s="43"/>
      <c r="W44" s="43"/>
    </row>
    <row r="45" spans="1:23" ht="15.75" customHeight="1" thickBot="1" x14ac:dyDescent="0.3">
      <c r="A45" s="89"/>
      <c r="B45" s="92" t="s">
        <v>189</v>
      </c>
      <c r="C45" s="43"/>
      <c r="D45" s="43"/>
      <c r="E45" s="43"/>
      <c r="F45" s="43"/>
      <c r="G45" s="43"/>
      <c r="H45" s="72"/>
      <c r="I45" s="73"/>
      <c r="J45" s="43"/>
      <c r="K45" s="43"/>
      <c r="L45" s="73"/>
      <c r="M45" s="43"/>
      <c r="N45" s="43"/>
      <c r="O45" s="43"/>
      <c r="P45" s="43"/>
      <c r="Q45" s="72"/>
      <c r="R45" s="73"/>
      <c r="S45" s="43"/>
      <c r="T45" s="43"/>
      <c r="U45" s="73"/>
      <c r="V45" s="43"/>
      <c r="W45" s="43"/>
    </row>
    <row r="46" spans="1:23" ht="15.75" customHeight="1" thickBot="1" x14ac:dyDescent="0.3">
      <c r="A46" s="98"/>
      <c r="B46" s="92" t="s">
        <v>210</v>
      </c>
      <c r="C46" s="43"/>
      <c r="D46" s="43"/>
      <c r="E46" s="43"/>
      <c r="F46" s="43"/>
      <c r="G46" s="43"/>
      <c r="H46" s="72"/>
      <c r="I46" s="73"/>
      <c r="J46" s="43"/>
      <c r="K46" s="43"/>
      <c r="L46" s="73"/>
      <c r="M46" s="43"/>
      <c r="N46" s="43"/>
      <c r="O46" s="43"/>
      <c r="P46" s="43"/>
      <c r="Q46" s="72"/>
      <c r="R46" s="73"/>
      <c r="S46" s="43"/>
      <c r="T46" s="43"/>
      <c r="U46" s="73"/>
      <c r="V46" s="43"/>
      <c r="W46" s="43"/>
    </row>
    <row r="47" spans="1:23" ht="15.75" customHeight="1" thickBot="1" x14ac:dyDescent="0.3">
      <c r="A47" s="101"/>
      <c r="B47" s="92" t="s">
        <v>211</v>
      </c>
      <c r="C47" s="43"/>
      <c r="D47" s="43"/>
      <c r="E47" s="43"/>
      <c r="F47" s="43"/>
      <c r="G47" s="43"/>
      <c r="H47" s="72"/>
      <c r="I47" s="73"/>
      <c r="J47" s="43"/>
      <c r="K47" s="43"/>
      <c r="L47" s="73"/>
      <c r="M47" s="43"/>
      <c r="N47" s="43"/>
      <c r="O47" s="43"/>
      <c r="P47" s="43"/>
      <c r="Q47" s="72"/>
      <c r="R47" s="73"/>
      <c r="S47" s="43"/>
      <c r="T47" s="43"/>
      <c r="U47" s="73"/>
      <c r="V47" s="43"/>
      <c r="W47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2"/>
  <sheetViews>
    <sheetView workbookViewId="0">
      <selection activeCell="K17" sqref="K17"/>
    </sheetView>
  </sheetViews>
  <sheetFormatPr defaultColWidth="9.140625" defaultRowHeight="15" x14ac:dyDescent="0.25"/>
  <cols>
    <col min="1" max="7" width="9.140625" style="68" customWidth="1"/>
    <col min="8" max="16384" width="9.140625" style="68"/>
  </cols>
  <sheetData>
    <row r="1" spans="1:8" x14ac:dyDescent="0.25">
      <c r="A1" s="68">
        <v>15</v>
      </c>
      <c r="B1" s="68">
        <v>18</v>
      </c>
      <c r="C1" s="68">
        <v>18</v>
      </c>
      <c r="D1" s="68">
        <v>17</v>
      </c>
      <c r="E1" s="68">
        <v>17</v>
      </c>
      <c r="F1" s="68">
        <v>16</v>
      </c>
      <c r="G1" s="68">
        <v>15</v>
      </c>
      <c r="H1" s="76"/>
    </row>
    <row r="2" spans="1:8" x14ac:dyDescent="0.25">
      <c r="A2" s="68">
        <v>15</v>
      </c>
      <c r="B2" s="68">
        <v>16</v>
      </c>
      <c r="C2" s="68">
        <v>17</v>
      </c>
      <c r="D2" s="68">
        <v>16</v>
      </c>
      <c r="E2" s="68">
        <v>17</v>
      </c>
      <c r="F2" s="68">
        <v>16</v>
      </c>
      <c r="G2" s="68">
        <v>15</v>
      </c>
      <c r="H2" s="76"/>
    </row>
    <row r="3" spans="1:8" x14ac:dyDescent="0.25">
      <c r="A3" s="68">
        <v>15</v>
      </c>
      <c r="B3" s="68">
        <v>15</v>
      </c>
      <c r="C3" s="68">
        <v>17</v>
      </c>
      <c r="D3" s="68">
        <v>15</v>
      </c>
      <c r="E3" s="68">
        <v>17</v>
      </c>
      <c r="F3" s="68">
        <v>15</v>
      </c>
      <c r="G3" s="68">
        <v>14</v>
      </c>
      <c r="H3" s="76"/>
    </row>
    <row r="4" spans="1:8" x14ac:dyDescent="0.25">
      <c r="A4" s="68">
        <v>15</v>
      </c>
      <c r="B4" s="68">
        <v>15</v>
      </c>
      <c r="C4" s="68">
        <v>17</v>
      </c>
      <c r="D4" s="68">
        <v>15</v>
      </c>
      <c r="E4" s="68">
        <v>15</v>
      </c>
      <c r="F4" s="68">
        <v>15</v>
      </c>
      <c r="G4" s="68">
        <v>14</v>
      </c>
      <c r="H4" s="76"/>
    </row>
    <row r="5" spans="1:8" x14ac:dyDescent="0.25">
      <c r="A5" s="68">
        <v>14</v>
      </c>
      <c r="B5" s="68">
        <v>15</v>
      </c>
      <c r="C5" s="68">
        <v>15</v>
      </c>
      <c r="D5" s="68">
        <v>15</v>
      </c>
      <c r="E5" s="68">
        <v>15</v>
      </c>
      <c r="F5" s="68">
        <v>15</v>
      </c>
      <c r="G5" s="68">
        <v>14</v>
      </c>
      <c r="H5" s="76"/>
    </row>
    <row r="6" spans="1:8" x14ac:dyDescent="0.25">
      <c r="A6" s="68">
        <v>14</v>
      </c>
      <c r="B6" s="68">
        <v>15</v>
      </c>
      <c r="C6" s="68">
        <v>15</v>
      </c>
      <c r="D6" s="68">
        <v>15</v>
      </c>
      <c r="E6" s="68">
        <v>13</v>
      </c>
      <c r="F6" s="68">
        <v>15</v>
      </c>
      <c r="G6" s="68">
        <v>13</v>
      </c>
      <c r="H6" s="76"/>
    </row>
    <row r="7" spans="1:8" x14ac:dyDescent="0.25">
      <c r="A7" s="68">
        <v>14</v>
      </c>
      <c r="B7" s="68">
        <v>15</v>
      </c>
      <c r="C7" s="68">
        <v>15</v>
      </c>
      <c r="D7" s="68">
        <v>15</v>
      </c>
      <c r="E7" s="68">
        <v>13</v>
      </c>
      <c r="F7" s="68">
        <v>15</v>
      </c>
      <c r="G7" s="68">
        <v>13</v>
      </c>
      <c r="H7" s="76"/>
    </row>
    <row r="8" spans="1:8" x14ac:dyDescent="0.25">
      <c r="A8" s="68">
        <v>13</v>
      </c>
      <c r="B8" s="68">
        <v>15</v>
      </c>
      <c r="C8" s="68">
        <v>14</v>
      </c>
      <c r="D8" s="68">
        <v>15</v>
      </c>
      <c r="E8" s="68">
        <v>13</v>
      </c>
      <c r="F8" s="68">
        <v>15</v>
      </c>
      <c r="G8" s="68">
        <v>13</v>
      </c>
      <c r="H8" s="76"/>
    </row>
    <row r="9" spans="1:8" x14ac:dyDescent="0.25">
      <c r="A9" s="68">
        <v>12</v>
      </c>
      <c r="B9" s="68">
        <v>14</v>
      </c>
      <c r="C9" s="68">
        <v>14</v>
      </c>
      <c r="D9" s="68">
        <v>14</v>
      </c>
      <c r="E9" s="68">
        <v>12</v>
      </c>
      <c r="F9" s="68">
        <v>15</v>
      </c>
      <c r="G9" s="68">
        <v>13</v>
      </c>
      <c r="H9" s="76"/>
    </row>
    <row r="10" spans="1:8" x14ac:dyDescent="0.25">
      <c r="A10" s="68">
        <v>12</v>
      </c>
      <c r="B10" s="68">
        <v>14</v>
      </c>
      <c r="C10" s="68">
        <v>14</v>
      </c>
      <c r="D10" s="68">
        <v>14</v>
      </c>
      <c r="E10" s="68">
        <v>12</v>
      </c>
      <c r="F10" s="68">
        <v>14</v>
      </c>
      <c r="G10" s="68">
        <v>13</v>
      </c>
      <c r="H10" s="76"/>
    </row>
    <row r="11" spans="1:8" x14ac:dyDescent="0.25">
      <c r="A11" s="68">
        <v>11</v>
      </c>
      <c r="B11" s="68">
        <v>13</v>
      </c>
      <c r="C11" s="68">
        <v>13</v>
      </c>
      <c r="D11" s="68">
        <v>14</v>
      </c>
      <c r="E11" s="68">
        <v>12</v>
      </c>
      <c r="F11" s="68">
        <v>14</v>
      </c>
      <c r="G11" s="68">
        <v>13</v>
      </c>
      <c r="H11" s="76"/>
    </row>
    <row r="12" spans="1:8" x14ac:dyDescent="0.25">
      <c r="A12" s="68">
        <v>11</v>
      </c>
      <c r="B12" s="68">
        <v>13</v>
      </c>
      <c r="C12" s="68">
        <v>13</v>
      </c>
      <c r="D12" s="68">
        <v>14</v>
      </c>
      <c r="E12" s="68">
        <v>12</v>
      </c>
      <c r="F12" s="68">
        <v>14</v>
      </c>
      <c r="G12" s="68">
        <v>13</v>
      </c>
      <c r="H12" s="76"/>
    </row>
    <row r="13" spans="1:8" x14ac:dyDescent="0.25">
      <c r="A13" s="68">
        <v>11</v>
      </c>
      <c r="B13" s="68">
        <v>13</v>
      </c>
      <c r="C13" s="68">
        <v>13</v>
      </c>
      <c r="D13" s="68">
        <v>14</v>
      </c>
      <c r="E13" s="68">
        <v>12</v>
      </c>
      <c r="F13" s="68">
        <v>13</v>
      </c>
      <c r="G13" s="68">
        <v>13</v>
      </c>
      <c r="H13" s="76"/>
    </row>
    <row r="14" spans="1:8" x14ac:dyDescent="0.25">
      <c r="A14" s="68">
        <v>11</v>
      </c>
      <c r="B14" s="68">
        <v>13</v>
      </c>
      <c r="C14" s="68">
        <v>13</v>
      </c>
      <c r="D14" s="68">
        <v>14</v>
      </c>
      <c r="E14" s="68">
        <v>12</v>
      </c>
      <c r="F14" s="68">
        <v>13</v>
      </c>
      <c r="G14" s="68">
        <v>13</v>
      </c>
      <c r="H14" s="76"/>
    </row>
    <row r="15" spans="1:8" x14ac:dyDescent="0.25">
      <c r="A15" s="68">
        <v>11</v>
      </c>
      <c r="B15" s="68">
        <v>13</v>
      </c>
      <c r="C15" s="68">
        <v>13</v>
      </c>
      <c r="D15" s="68">
        <v>14</v>
      </c>
      <c r="E15" s="68">
        <v>12</v>
      </c>
      <c r="F15" s="68">
        <v>13</v>
      </c>
      <c r="G15" s="68">
        <v>13</v>
      </c>
      <c r="H15" s="76"/>
    </row>
    <row r="16" spans="1:8" x14ac:dyDescent="0.25">
      <c r="A16" s="68">
        <v>11</v>
      </c>
      <c r="B16" s="68">
        <v>13</v>
      </c>
      <c r="C16" s="68">
        <v>12</v>
      </c>
      <c r="D16" s="68">
        <v>13</v>
      </c>
      <c r="E16" s="68">
        <v>12</v>
      </c>
      <c r="F16" s="68">
        <v>13</v>
      </c>
      <c r="G16" s="68">
        <v>13</v>
      </c>
      <c r="H16" s="76"/>
    </row>
    <row r="17" spans="1:8" x14ac:dyDescent="0.25">
      <c r="A17" s="68">
        <v>11</v>
      </c>
      <c r="B17" s="68">
        <v>13</v>
      </c>
      <c r="C17" s="68">
        <v>12</v>
      </c>
      <c r="D17" s="68">
        <v>13</v>
      </c>
      <c r="E17" s="68">
        <v>12</v>
      </c>
      <c r="F17" s="68">
        <v>13</v>
      </c>
      <c r="G17" s="68">
        <v>13</v>
      </c>
      <c r="H17" s="76"/>
    </row>
    <row r="18" spans="1:8" x14ac:dyDescent="0.25">
      <c r="A18" s="68">
        <v>11</v>
      </c>
      <c r="B18" s="68">
        <v>13</v>
      </c>
      <c r="C18" s="68">
        <v>12</v>
      </c>
      <c r="D18" s="68">
        <v>13</v>
      </c>
      <c r="E18" s="68">
        <v>12</v>
      </c>
      <c r="F18" s="68">
        <v>13</v>
      </c>
      <c r="G18" s="68">
        <v>13</v>
      </c>
      <c r="H18" s="76"/>
    </row>
    <row r="19" spans="1:8" x14ac:dyDescent="0.25">
      <c r="A19" s="68">
        <v>11</v>
      </c>
      <c r="B19" s="68">
        <v>12</v>
      </c>
      <c r="C19" s="68">
        <v>12</v>
      </c>
      <c r="D19" s="68">
        <v>13</v>
      </c>
      <c r="E19" s="68">
        <v>12</v>
      </c>
      <c r="F19" s="68">
        <v>13</v>
      </c>
      <c r="G19" s="68">
        <v>13</v>
      </c>
      <c r="H19" s="76"/>
    </row>
    <row r="20" spans="1:8" x14ac:dyDescent="0.25">
      <c r="A20" s="68">
        <v>10</v>
      </c>
      <c r="B20" s="68">
        <v>12</v>
      </c>
      <c r="C20" s="68">
        <v>12</v>
      </c>
      <c r="D20" s="68">
        <v>13</v>
      </c>
      <c r="E20" s="68">
        <v>12</v>
      </c>
      <c r="F20" s="68">
        <v>12</v>
      </c>
      <c r="G20" s="68">
        <v>13</v>
      </c>
      <c r="H20" s="76"/>
    </row>
    <row r="21" spans="1:8" x14ac:dyDescent="0.25">
      <c r="A21" s="68">
        <v>10</v>
      </c>
      <c r="B21" s="68">
        <v>12</v>
      </c>
      <c r="C21" s="68">
        <v>12</v>
      </c>
      <c r="D21" s="68">
        <v>13</v>
      </c>
      <c r="E21" s="68">
        <v>11</v>
      </c>
      <c r="F21" s="68">
        <v>12</v>
      </c>
      <c r="G21" s="68">
        <v>13</v>
      </c>
      <c r="H21" s="76"/>
    </row>
    <row r="22" spans="1:8" x14ac:dyDescent="0.25">
      <c r="A22" s="68">
        <v>10</v>
      </c>
      <c r="B22" s="68">
        <v>12</v>
      </c>
      <c r="C22" s="68">
        <v>11</v>
      </c>
      <c r="D22" s="68">
        <v>12</v>
      </c>
      <c r="E22" s="68">
        <v>11</v>
      </c>
      <c r="F22" s="68">
        <v>12</v>
      </c>
      <c r="G22" s="68">
        <v>13</v>
      </c>
      <c r="H22" s="76"/>
    </row>
    <row r="23" spans="1:8" x14ac:dyDescent="0.25">
      <c r="A23" s="68">
        <v>10</v>
      </c>
      <c r="B23" s="68">
        <v>12</v>
      </c>
      <c r="C23" s="68">
        <v>11</v>
      </c>
      <c r="D23" s="68">
        <v>12</v>
      </c>
      <c r="E23" s="68">
        <v>11</v>
      </c>
      <c r="F23" s="68">
        <v>12</v>
      </c>
      <c r="G23" s="68">
        <v>13</v>
      </c>
      <c r="H23" s="76"/>
    </row>
    <row r="24" spans="1:8" x14ac:dyDescent="0.25">
      <c r="A24" s="68">
        <v>10</v>
      </c>
      <c r="B24" s="68">
        <v>12</v>
      </c>
      <c r="C24" s="68">
        <v>11</v>
      </c>
      <c r="D24" s="68">
        <v>12</v>
      </c>
      <c r="E24" s="68">
        <v>11</v>
      </c>
      <c r="F24" s="68">
        <v>12</v>
      </c>
      <c r="G24" s="68">
        <v>12</v>
      </c>
      <c r="H24" s="76"/>
    </row>
    <row r="25" spans="1:8" x14ac:dyDescent="0.25">
      <c r="A25" s="68">
        <v>10</v>
      </c>
      <c r="B25" s="68">
        <v>11</v>
      </c>
      <c r="C25" s="68">
        <v>11</v>
      </c>
      <c r="D25" s="68">
        <v>12</v>
      </c>
      <c r="E25" s="68">
        <v>11</v>
      </c>
      <c r="F25" s="68">
        <v>12</v>
      </c>
      <c r="G25" s="68">
        <v>12</v>
      </c>
      <c r="H25" s="76"/>
    </row>
    <row r="26" spans="1:8" x14ac:dyDescent="0.25">
      <c r="A26" s="68">
        <v>10</v>
      </c>
      <c r="B26" s="68">
        <v>11</v>
      </c>
      <c r="C26" s="68">
        <v>11</v>
      </c>
      <c r="D26" s="68">
        <v>12</v>
      </c>
      <c r="E26" s="68">
        <v>11</v>
      </c>
      <c r="F26" s="68">
        <v>11</v>
      </c>
      <c r="G26" s="68">
        <v>12</v>
      </c>
      <c r="H26" s="76"/>
    </row>
    <row r="27" spans="1:8" x14ac:dyDescent="0.25">
      <c r="A27" s="68">
        <v>10</v>
      </c>
      <c r="B27" s="68">
        <v>11</v>
      </c>
      <c r="C27" s="68">
        <v>11</v>
      </c>
      <c r="D27" s="68">
        <v>12</v>
      </c>
      <c r="E27" s="68">
        <v>11</v>
      </c>
      <c r="F27" s="68">
        <v>11</v>
      </c>
      <c r="G27" s="68">
        <v>12</v>
      </c>
      <c r="H27" s="76"/>
    </row>
    <row r="28" spans="1:8" x14ac:dyDescent="0.25">
      <c r="A28" s="68">
        <v>10</v>
      </c>
      <c r="B28" s="68">
        <v>9</v>
      </c>
      <c r="C28" s="68">
        <v>11</v>
      </c>
      <c r="D28" s="68">
        <v>12</v>
      </c>
      <c r="E28" s="68">
        <v>11</v>
      </c>
      <c r="F28" s="68">
        <v>11</v>
      </c>
      <c r="G28" s="68">
        <v>12</v>
      </c>
      <c r="H28" s="76"/>
    </row>
    <row r="29" spans="1:8" x14ac:dyDescent="0.25">
      <c r="A29" s="68">
        <v>10</v>
      </c>
      <c r="B29" s="68">
        <v>8</v>
      </c>
      <c r="C29" s="68">
        <v>11</v>
      </c>
      <c r="D29" s="68">
        <v>11</v>
      </c>
      <c r="E29" s="68">
        <v>11</v>
      </c>
      <c r="F29" s="68">
        <v>10</v>
      </c>
      <c r="G29" s="68">
        <v>12</v>
      </c>
      <c r="H29" s="76"/>
    </row>
    <row r="30" spans="1:8" x14ac:dyDescent="0.25">
      <c r="A30" s="68">
        <v>10</v>
      </c>
      <c r="B30" s="68">
        <v>7</v>
      </c>
      <c r="C30" s="68">
        <v>10</v>
      </c>
      <c r="D30" s="68">
        <v>10</v>
      </c>
      <c r="E30" s="68">
        <v>8</v>
      </c>
      <c r="F30" s="68">
        <v>10</v>
      </c>
      <c r="G30" s="68">
        <v>9</v>
      </c>
      <c r="H30" s="76"/>
    </row>
    <row r="31" spans="1:8" ht="15.75" customHeight="1" thickBot="1" x14ac:dyDescent="0.3">
      <c r="A31" s="76"/>
      <c r="B31" s="76"/>
      <c r="C31" s="76"/>
      <c r="D31" s="76"/>
      <c r="E31" s="76"/>
      <c r="F31" s="76"/>
      <c r="G31" s="76"/>
      <c r="H31" s="76"/>
    </row>
    <row r="32" spans="1:8" ht="15.75" customHeight="1" thickBot="1" x14ac:dyDescent="0.3">
      <c r="A32" s="129" t="s">
        <v>221</v>
      </c>
      <c r="B32" s="127"/>
      <c r="C32" s="127"/>
      <c r="D32" s="127"/>
      <c r="E32" s="127"/>
      <c r="F32" s="127"/>
      <c r="G32" s="127"/>
      <c r="H32" s="128"/>
    </row>
  </sheetData>
  <mergeCells count="1">
    <mergeCell ref="A32:H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49"/>
  <sheetViews>
    <sheetView tabSelected="1" topLeftCell="AB1" workbookViewId="0">
      <selection activeCell="AG15" sqref="AG15"/>
    </sheetView>
  </sheetViews>
  <sheetFormatPr defaultRowHeight="15" x14ac:dyDescent="0.25"/>
  <cols>
    <col min="9" max="27" width="0" hidden="1" customWidth="1"/>
    <col min="28" max="28" width="16.5703125" customWidth="1"/>
    <col min="33" max="33" width="15.7109375" customWidth="1"/>
  </cols>
  <sheetData>
    <row r="1" spans="1:34" x14ac:dyDescent="0.25">
      <c r="A1">
        <v>16</v>
      </c>
      <c r="B1" t="s">
        <v>142</v>
      </c>
      <c r="N1" t="s">
        <v>212</v>
      </c>
      <c r="O1" t="s">
        <v>202</v>
      </c>
      <c r="T1" s="78" t="s">
        <v>222</v>
      </c>
      <c r="X1" s="111" t="s">
        <v>223</v>
      </c>
      <c r="AB1" s="122" t="s">
        <v>224</v>
      </c>
      <c r="AE1" t="s">
        <v>277</v>
      </c>
      <c r="AG1" t="s">
        <v>278</v>
      </c>
    </row>
    <row r="2" spans="1:34" x14ac:dyDescent="0.25">
      <c r="A2">
        <v>15</v>
      </c>
      <c r="B2" t="s">
        <v>175</v>
      </c>
      <c r="N2" t="s">
        <v>212</v>
      </c>
      <c r="O2" t="s">
        <v>144</v>
      </c>
      <c r="T2" t="s">
        <v>178</v>
      </c>
      <c r="X2" t="s">
        <v>215</v>
      </c>
      <c r="Z2" t="s">
        <v>225</v>
      </c>
      <c r="AB2" s="79" t="s">
        <v>88</v>
      </c>
      <c r="AC2" s="124"/>
      <c r="AE2" s="79" t="s">
        <v>117</v>
      </c>
      <c r="AF2" s="124"/>
      <c r="AG2" s="79" t="s">
        <v>87</v>
      </c>
      <c r="AH2" s="123"/>
    </row>
    <row r="3" spans="1:34" x14ac:dyDescent="0.25">
      <c r="A3">
        <v>15</v>
      </c>
      <c r="B3" t="s">
        <v>98</v>
      </c>
      <c r="I3">
        <v>13</v>
      </c>
      <c r="J3" t="s">
        <v>145</v>
      </c>
      <c r="N3" t="s">
        <v>212</v>
      </c>
      <c r="O3" t="s">
        <v>226</v>
      </c>
      <c r="S3" s="81" t="s">
        <v>204</v>
      </c>
      <c r="T3" s="78" t="s">
        <v>227</v>
      </c>
      <c r="X3" t="s">
        <v>95</v>
      </c>
      <c r="Z3" t="s">
        <v>193</v>
      </c>
      <c r="AA3" t="s">
        <v>228</v>
      </c>
      <c r="AB3" s="79" t="s">
        <v>89</v>
      </c>
      <c r="AC3" s="124"/>
      <c r="AE3" s="79" t="s">
        <v>100</v>
      </c>
      <c r="AF3" s="124"/>
      <c r="AG3" s="79" t="s">
        <v>96</v>
      </c>
      <c r="AH3" s="123"/>
    </row>
    <row r="4" spans="1:34" x14ac:dyDescent="0.25">
      <c r="A4">
        <v>13</v>
      </c>
      <c r="B4" t="s">
        <v>120</v>
      </c>
      <c r="E4" t="s">
        <v>114</v>
      </c>
      <c r="I4">
        <v>13</v>
      </c>
      <c r="J4" t="s">
        <v>105</v>
      </c>
      <c r="N4" t="s">
        <v>212</v>
      </c>
      <c r="O4" t="s">
        <v>161</v>
      </c>
      <c r="S4" s="78" t="s">
        <v>96</v>
      </c>
      <c r="X4" t="s">
        <v>229</v>
      </c>
      <c r="Z4" t="s">
        <v>128</v>
      </c>
      <c r="AA4" t="s">
        <v>230</v>
      </c>
      <c r="AB4" s="79" t="s">
        <v>91</v>
      </c>
      <c r="AC4" s="124"/>
      <c r="AE4" s="79" t="s">
        <v>93</v>
      </c>
      <c r="AF4" s="124"/>
      <c r="AG4" s="79" t="s">
        <v>101</v>
      </c>
      <c r="AH4" s="123"/>
    </row>
    <row r="5" spans="1:34" x14ac:dyDescent="0.25">
      <c r="A5">
        <v>13</v>
      </c>
      <c r="B5" t="s">
        <v>148</v>
      </c>
      <c r="E5" t="s">
        <v>202</v>
      </c>
      <c r="I5">
        <v>13</v>
      </c>
      <c r="J5" t="s">
        <v>231</v>
      </c>
      <c r="N5" t="s">
        <v>212</v>
      </c>
      <c r="O5" t="s">
        <v>106</v>
      </c>
      <c r="S5" s="81" t="s">
        <v>232</v>
      </c>
      <c r="X5" t="s">
        <v>103</v>
      </c>
      <c r="Z5">
        <v>655321</v>
      </c>
      <c r="AB5" s="79" t="s">
        <v>92</v>
      </c>
      <c r="AC5" s="124"/>
      <c r="AE5" s="79" t="s">
        <v>279</v>
      </c>
      <c r="AF5" s="124"/>
      <c r="AG5" s="79" t="s">
        <v>114</v>
      </c>
      <c r="AH5" s="123"/>
    </row>
    <row r="6" spans="1:34" x14ac:dyDescent="0.25">
      <c r="A6">
        <v>13</v>
      </c>
      <c r="B6" t="s">
        <v>176</v>
      </c>
      <c r="E6" t="s">
        <v>233</v>
      </c>
      <c r="I6">
        <v>12</v>
      </c>
      <c r="J6" t="s">
        <v>234</v>
      </c>
      <c r="N6" t="s">
        <v>212</v>
      </c>
      <c r="O6" t="s">
        <v>235</v>
      </c>
      <c r="S6" s="81" t="s">
        <v>102</v>
      </c>
      <c r="X6" t="s">
        <v>217</v>
      </c>
      <c r="Z6" t="s">
        <v>236</v>
      </c>
      <c r="AA6" t="s">
        <v>237</v>
      </c>
      <c r="AG6" s="79" t="s">
        <v>102</v>
      </c>
    </row>
    <row r="7" spans="1:34" x14ac:dyDescent="0.25">
      <c r="A7">
        <v>13</v>
      </c>
      <c r="B7" t="s">
        <v>144</v>
      </c>
      <c r="I7">
        <v>12</v>
      </c>
      <c r="J7" t="s">
        <v>238</v>
      </c>
      <c r="N7" t="s">
        <v>212</v>
      </c>
      <c r="O7" t="s">
        <v>107</v>
      </c>
      <c r="S7" s="81" t="s">
        <v>206</v>
      </c>
      <c r="X7" t="s">
        <v>218</v>
      </c>
      <c r="Z7" t="s">
        <v>96</v>
      </c>
      <c r="AA7" t="s">
        <v>239</v>
      </c>
      <c r="AB7" s="79" t="s">
        <v>94</v>
      </c>
      <c r="AC7" s="125"/>
      <c r="AG7" s="79" t="s">
        <v>266</v>
      </c>
    </row>
    <row r="8" spans="1:34" x14ac:dyDescent="0.25">
      <c r="A8">
        <v>13</v>
      </c>
      <c r="B8" t="s">
        <v>152</v>
      </c>
      <c r="N8" t="s">
        <v>212</v>
      </c>
      <c r="O8" t="s">
        <v>151</v>
      </c>
      <c r="S8" s="78" t="s">
        <v>205</v>
      </c>
      <c r="X8" t="s">
        <v>105</v>
      </c>
      <c r="Z8" t="s">
        <v>89</v>
      </c>
      <c r="AB8" s="79" t="s">
        <v>95</v>
      </c>
      <c r="AC8" s="124"/>
      <c r="AG8" s="79" t="s">
        <v>104</v>
      </c>
    </row>
    <row r="9" spans="1:34" x14ac:dyDescent="0.25">
      <c r="A9">
        <v>13</v>
      </c>
      <c r="B9" t="s">
        <v>185</v>
      </c>
      <c r="I9">
        <v>12</v>
      </c>
      <c r="J9" t="s">
        <v>240</v>
      </c>
      <c r="N9" t="s">
        <v>212</v>
      </c>
      <c r="O9" t="s">
        <v>241</v>
      </c>
      <c r="S9" s="78" t="s">
        <v>105</v>
      </c>
      <c r="X9" t="s">
        <v>106</v>
      </c>
      <c r="Z9" t="s">
        <v>101</v>
      </c>
      <c r="AB9" s="79" t="s">
        <v>97</v>
      </c>
      <c r="AC9" s="124"/>
      <c r="AG9" s="79" t="s">
        <v>105</v>
      </c>
    </row>
    <row r="10" spans="1:34" x14ac:dyDescent="0.25">
      <c r="A10">
        <v>13</v>
      </c>
      <c r="B10" t="s">
        <v>147</v>
      </c>
      <c r="N10" t="s">
        <v>212</v>
      </c>
      <c r="O10" t="s">
        <v>113</v>
      </c>
      <c r="S10" s="78" t="s">
        <v>236</v>
      </c>
      <c r="X10" t="s">
        <v>242</v>
      </c>
      <c r="Z10" t="s">
        <v>243</v>
      </c>
      <c r="AA10" t="s">
        <v>244</v>
      </c>
      <c r="AB10" s="79" t="s">
        <v>98</v>
      </c>
      <c r="AC10" s="124"/>
      <c r="AG10" s="79" t="s">
        <v>115</v>
      </c>
    </row>
    <row r="11" spans="1:34" x14ac:dyDescent="0.25">
      <c r="A11">
        <v>13</v>
      </c>
      <c r="B11" t="s">
        <v>154</v>
      </c>
      <c r="I11">
        <v>12</v>
      </c>
      <c r="J11" t="s">
        <v>157</v>
      </c>
      <c r="N11" t="s">
        <v>212</v>
      </c>
      <c r="O11" t="s">
        <v>198</v>
      </c>
      <c r="S11" s="81" t="s">
        <v>245</v>
      </c>
      <c r="X11" t="s">
        <v>246</v>
      </c>
      <c r="Z11" t="s">
        <v>208</v>
      </c>
      <c r="AA11" t="s">
        <v>247</v>
      </c>
      <c r="AG11" s="79" t="s">
        <v>99</v>
      </c>
    </row>
    <row r="12" spans="1:34" x14ac:dyDescent="0.25">
      <c r="A12">
        <v>12</v>
      </c>
      <c r="B12" t="s">
        <v>121</v>
      </c>
      <c r="I12">
        <v>12</v>
      </c>
      <c r="J12" t="s">
        <v>248</v>
      </c>
      <c r="N12" t="s">
        <v>212</v>
      </c>
      <c r="O12" t="s">
        <v>114</v>
      </c>
      <c r="S12" s="81" t="s">
        <v>249</v>
      </c>
      <c r="X12" t="s">
        <v>110</v>
      </c>
      <c r="AB12" s="79" t="s">
        <v>103</v>
      </c>
      <c r="AC12" s="124"/>
      <c r="AG12" s="79" t="s">
        <v>275</v>
      </c>
    </row>
    <row r="13" spans="1:34" x14ac:dyDescent="0.25">
      <c r="A13">
        <v>12</v>
      </c>
      <c r="B13" t="s">
        <v>180</v>
      </c>
      <c r="I13">
        <v>12</v>
      </c>
      <c r="J13" t="s">
        <v>250</v>
      </c>
      <c r="N13" t="s">
        <v>212</v>
      </c>
      <c r="O13" t="s">
        <v>251</v>
      </c>
      <c r="S13" s="78" t="s">
        <v>175</v>
      </c>
      <c r="X13" t="s">
        <v>252</v>
      </c>
      <c r="AB13" s="79" t="s">
        <v>106</v>
      </c>
      <c r="AC13" s="124"/>
      <c r="AG13" s="79" t="s">
        <v>125</v>
      </c>
      <c r="AH13" t="s">
        <v>212</v>
      </c>
    </row>
    <row r="14" spans="1:34" x14ac:dyDescent="0.25">
      <c r="A14">
        <v>12</v>
      </c>
      <c r="B14" t="s">
        <v>161</v>
      </c>
      <c r="I14">
        <v>12</v>
      </c>
      <c r="J14" t="s">
        <v>153</v>
      </c>
      <c r="N14" t="s">
        <v>212</v>
      </c>
      <c r="O14" t="s">
        <v>120</v>
      </c>
      <c r="S14" s="81" t="s">
        <v>195</v>
      </c>
      <c r="X14" t="s">
        <v>198</v>
      </c>
      <c r="AB14" s="79" t="s">
        <v>107</v>
      </c>
      <c r="AC14" s="124"/>
      <c r="AG14" s="79" t="s">
        <v>276</v>
      </c>
    </row>
    <row r="15" spans="1:34" x14ac:dyDescent="0.25">
      <c r="A15">
        <v>12</v>
      </c>
      <c r="B15" t="s">
        <v>253</v>
      </c>
      <c r="I15">
        <v>12</v>
      </c>
      <c r="J15" t="s">
        <v>254</v>
      </c>
      <c r="N15" t="s">
        <v>212</v>
      </c>
      <c r="O15" t="s">
        <v>121</v>
      </c>
      <c r="S15" s="81" t="s">
        <v>208</v>
      </c>
      <c r="X15" t="s">
        <v>114</v>
      </c>
      <c r="AB15" s="79" t="s">
        <v>108</v>
      </c>
      <c r="AC15" s="124"/>
      <c r="AG15" s="79"/>
    </row>
    <row r="16" spans="1:34" x14ac:dyDescent="0.25">
      <c r="A16">
        <v>12</v>
      </c>
      <c r="B16" t="s">
        <v>149</v>
      </c>
      <c r="N16" t="s">
        <v>212</v>
      </c>
      <c r="O16" t="s">
        <v>255</v>
      </c>
      <c r="S16" s="78" t="s">
        <v>256</v>
      </c>
      <c r="X16" t="s">
        <v>257</v>
      </c>
      <c r="AB16" s="79" t="s">
        <v>109</v>
      </c>
      <c r="AC16" s="124"/>
      <c r="AG16" s="79" t="s">
        <v>130</v>
      </c>
    </row>
    <row r="17" spans="1:34" x14ac:dyDescent="0.25">
      <c r="A17">
        <v>12</v>
      </c>
      <c r="B17" t="s">
        <v>110</v>
      </c>
      <c r="I17">
        <v>12</v>
      </c>
      <c r="J17" t="s">
        <v>258</v>
      </c>
      <c r="N17" t="s">
        <v>212</v>
      </c>
      <c r="O17" t="s">
        <v>156</v>
      </c>
      <c r="S17" s="81" t="s">
        <v>259</v>
      </c>
      <c r="X17" t="s">
        <v>260</v>
      </c>
      <c r="AB17" s="79" t="s">
        <v>110</v>
      </c>
      <c r="AC17" s="124"/>
      <c r="AG17" s="79" t="s">
        <v>128</v>
      </c>
      <c r="AH17" s="123"/>
    </row>
    <row r="18" spans="1:34" x14ac:dyDescent="0.25">
      <c r="A18">
        <v>12</v>
      </c>
      <c r="B18" t="s">
        <v>179</v>
      </c>
      <c r="I18">
        <v>11</v>
      </c>
      <c r="J18" t="s">
        <v>163</v>
      </c>
      <c r="N18" t="s">
        <v>212</v>
      </c>
      <c r="O18" t="s">
        <v>125</v>
      </c>
      <c r="S18" s="78" t="s">
        <v>261</v>
      </c>
      <c r="X18" t="s">
        <v>262</v>
      </c>
      <c r="AB18" s="79" t="s">
        <v>111</v>
      </c>
      <c r="AC18" s="124"/>
    </row>
    <row r="19" spans="1:34" x14ac:dyDescent="0.25">
      <c r="A19">
        <v>12</v>
      </c>
      <c r="B19" t="s">
        <v>151</v>
      </c>
      <c r="I19">
        <v>11</v>
      </c>
      <c r="J19" t="s">
        <v>168</v>
      </c>
      <c r="N19" t="s">
        <v>212</v>
      </c>
      <c r="O19" t="s">
        <v>263</v>
      </c>
      <c r="S19" s="81" t="s">
        <v>264</v>
      </c>
      <c r="X19" t="s">
        <v>265</v>
      </c>
      <c r="AB19" s="79" t="s">
        <v>112</v>
      </c>
      <c r="AC19" s="124"/>
    </row>
    <row r="20" spans="1:34" x14ac:dyDescent="0.25">
      <c r="A20">
        <v>12</v>
      </c>
      <c r="B20" t="s">
        <v>177</v>
      </c>
      <c r="N20" t="s">
        <v>212</v>
      </c>
      <c r="O20" t="s">
        <v>267</v>
      </c>
      <c r="S20" s="78"/>
      <c r="X20" t="s">
        <v>124</v>
      </c>
      <c r="AB20" s="79" t="s">
        <v>113</v>
      </c>
      <c r="AC20" s="124"/>
    </row>
    <row r="21" spans="1:34" x14ac:dyDescent="0.25">
      <c r="A21">
        <v>12</v>
      </c>
      <c r="B21" t="s">
        <v>183</v>
      </c>
      <c r="N21" t="s">
        <v>212</v>
      </c>
      <c r="O21" t="s">
        <v>166</v>
      </c>
      <c r="S21" s="81"/>
      <c r="X21" t="s">
        <v>156</v>
      </c>
      <c r="AB21" s="79" t="s">
        <v>116</v>
      </c>
      <c r="AC21" s="124"/>
    </row>
    <row r="22" spans="1:34" x14ac:dyDescent="0.25">
      <c r="A22">
        <v>12</v>
      </c>
      <c r="B22" t="s">
        <v>186</v>
      </c>
      <c r="N22" t="s">
        <v>212</v>
      </c>
      <c r="O22" t="s">
        <v>193</v>
      </c>
      <c r="S22" s="78"/>
      <c r="X22" t="s">
        <v>268</v>
      </c>
    </row>
    <row r="23" spans="1:34" x14ac:dyDescent="0.25">
      <c r="A23">
        <v>12</v>
      </c>
      <c r="B23" t="s">
        <v>181</v>
      </c>
      <c r="N23" t="s">
        <v>212</v>
      </c>
      <c r="O23" t="s">
        <v>269</v>
      </c>
      <c r="S23" s="78"/>
      <c r="X23" t="s">
        <v>199</v>
      </c>
      <c r="AB23" s="79" t="s">
        <v>118</v>
      </c>
      <c r="AC23" s="124"/>
    </row>
    <row r="24" spans="1:34" x14ac:dyDescent="0.25">
      <c r="A24">
        <v>12</v>
      </c>
      <c r="B24" t="s">
        <v>170</v>
      </c>
      <c r="N24" t="s">
        <v>212</v>
      </c>
      <c r="O24" t="s">
        <v>270</v>
      </c>
      <c r="S24" s="78"/>
      <c r="X24" t="s">
        <v>129</v>
      </c>
      <c r="AB24" s="79" t="s">
        <v>120</v>
      </c>
      <c r="AC24" s="124"/>
    </row>
    <row r="25" spans="1:34" x14ac:dyDescent="0.25">
      <c r="A25">
        <v>12</v>
      </c>
      <c r="B25" t="s">
        <v>166</v>
      </c>
      <c r="N25" t="s">
        <v>212</v>
      </c>
      <c r="O25" t="s">
        <v>177</v>
      </c>
      <c r="S25" s="81"/>
      <c r="X25" t="s">
        <v>271</v>
      </c>
      <c r="AB25" s="79" t="s">
        <v>121</v>
      </c>
      <c r="AC25" s="124"/>
    </row>
    <row r="26" spans="1:34" x14ac:dyDescent="0.25">
      <c r="A26">
        <v>12</v>
      </c>
      <c r="B26" t="s">
        <v>162</v>
      </c>
      <c r="N26" t="s">
        <v>212</v>
      </c>
      <c r="O26" t="s">
        <v>272</v>
      </c>
      <c r="S26" s="81"/>
      <c r="X26" t="s">
        <v>109</v>
      </c>
      <c r="AB26" s="79" t="s">
        <v>122</v>
      </c>
      <c r="AC26" s="124"/>
    </row>
    <row r="27" spans="1:34" x14ac:dyDescent="0.25">
      <c r="A27">
        <v>12</v>
      </c>
      <c r="B27" t="s">
        <v>184</v>
      </c>
      <c r="N27" t="s">
        <v>212</v>
      </c>
      <c r="O27" t="s">
        <v>180</v>
      </c>
      <c r="S27" s="81"/>
      <c r="X27" t="s">
        <v>112</v>
      </c>
      <c r="AB27" s="79" t="s">
        <v>123</v>
      </c>
      <c r="AC27" s="124"/>
    </row>
    <row r="28" spans="1:34" x14ac:dyDescent="0.25">
      <c r="A28">
        <v>12</v>
      </c>
      <c r="B28" t="s">
        <v>107</v>
      </c>
      <c r="N28" t="s">
        <v>212</v>
      </c>
      <c r="O28" t="s">
        <v>273</v>
      </c>
      <c r="S28" s="81"/>
      <c r="X28" t="s">
        <v>102</v>
      </c>
      <c r="AB28" s="79" t="s">
        <v>124</v>
      </c>
      <c r="AC28" s="124"/>
    </row>
    <row r="29" spans="1:34" x14ac:dyDescent="0.25">
      <c r="A29">
        <v>12</v>
      </c>
      <c r="B29" t="s">
        <v>158</v>
      </c>
      <c r="N29" t="s">
        <v>274</v>
      </c>
      <c r="O29" s="81" t="s">
        <v>196</v>
      </c>
      <c r="S29" s="78"/>
      <c r="AB29" s="79" t="s">
        <v>126</v>
      </c>
      <c r="AC29" s="124"/>
    </row>
    <row r="30" spans="1:34" x14ac:dyDescent="0.25">
      <c r="S30" s="78"/>
      <c r="X30" t="s">
        <v>219</v>
      </c>
      <c r="AB30" s="79" t="s">
        <v>127</v>
      </c>
      <c r="AC30" s="124"/>
    </row>
    <row r="31" spans="1:34" x14ac:dyDescent="0.25">
      <c r="S31" s="78"/>
      <c r="X31" t="s">
        <v>216</v>
      </c>
      <c r="AB31" s="79" t="s">
        <v>129</v>
      </c>
      <c r="AC31" s="124"/>
    </row>
    <row r="32" spans="1:34" x14ac:dyDescent="0.25">
      <c r="S32" s="81"/>
      <c r="X32" t="s">
        <v>94</v>
      </c>
      <c r="AB32" s="79" t="s">
        <v>132</v>
      </c>
      <c r="AC32" s="124"/>
    </row>
    <row r="33" spans="19:29" x14ac:dyDescent="0.25">
      <c r="S33" s="81"/>
      <c r="AB33" s="79" t="s">
        <v>280</v>
      </c>
      <c r="AC33" s="124"/>
    </row>
    <row r="34" spans="19:29" x14ac:dyDescent="0.25">
      <c r="S34" s="78"/>
      <c r="AB34" s="79" t="s">
        <v>281</v>
      </c>
      <c r="AC34" s="124"/>
    </row>
    <row r="35" spans="19:29" x14ac:dyDescent="0.25">
      <c r="S35" s="81"/>
    </row>
    <row r="36" spans="19:29" x14ac:dyDescent="0.25">
      <c r="S36" s="78"/>
    </row>
    <row r="37" spans="19:29" x14ac:dyDescent="0.25">
      <c r="S37" s="78"/>
    </row>
    <row r="38" spans="19:29" x14ac:dyDescent="0.25">
      <c r="S38" s="81"/>
    </row>
    <row r="39" spans="19:29" x14ac:dyDescent="0.25">
      <c r="S39" s="78"/>
    </row>
    <row r="40" spans="19:29" x14ac:dyDescent="0.25">
      <c r="S40" s="78"/>
    </row>
    <row r="41" spans="19:29" x14ac:dyDescent="0.25">
      <c r="S41" s="81"/>
    </row>
    <row r="42" spans="19:29" x14ac:dyDescent="0.25">
      <c r="S42" s="78"/>
    </row>
    <row r="43" spans="19:29" x14ac:dyDescent="0.25">
      <c r="S43" s="81"/>
    </row>
    <row r="44" spans="19:29" x14ac:dyDescent="0.25">
      <c r="S44" s="78"/>
    </row>
    <row r="45" spans="19:29" x14ac:dyDescent="0.25">
      <c r="S45" s="81"/>
    </row>
    <row r="46" spans="19:29" x14ac:dyDescent="0.25">
      <c r="S46" s="81"/>
    </row>
    <row r="47" spans="19:29" x14ac:dyDescent="0.25">
      <c r="S47" s="78"/>
    </row>
    <row r="48" spans="19:29" x14ac:dyDescent="0.25">
      <c r="S48" s="81"/>
    </row>
    <row r="49" spans="19:19" ht="15.75" customHeight="1" thickBot="1" x14ac:dyDescent="0.3">
      <c r="S49" s="8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I51"/>
  <sheetViews>
    <sheetView topLeftCell="A40" workbookViewId="0">
      <pane xSplit="1" topLeftCell="B1" activePane="topRight" state="frozen"/>
      <selection pane="topRight" activeCell="F35" sqref="F35"/>
    </sheetView>
  </sheetViews>
  <sheetFormatPr defaultColWidth="9.140625" defaultRowHeight="15" x14ac:dyDescent="0.25"/>
  <cols>
    <col min="1" max="1" width="16.42578125" style="78" customWidth="1"/>
    <col min="2" max="2" width="11.5703125" style="79" customWidth="1"/>
    <col min="3" max="3" width="15.140625" style="80" customWidth="1"/>
    <col min="4" max="4" width="13.42578125" style="79" customWidth="1"/>
    <col min="5" max="5" width="13.28515625" style="68" customWidth="1"/>
    <col min="6" max="6" width="11.5703125" style="68" customWidth="1"/>
    <col min="7" max="7" width="11.5703125" style="79" customWidth="1"/>
    <col min="8" max="8" width="11.5703125" style="80" customWidth="1"/>
    <col min="9" max="9" width="11.5703125" style="79" customWidth="1"/>
    <col min="10" max="10" width="12.5703125" style="80" customWidth="1"/>
    <col min="11" max="11" width="12.5703125" style="79" customWidth="1"/>
    <col min="12" max="12" width="12.5703125" style="80" customWidth="1"/>
    <col min="13" max="13" width="12.5703125" style="79" customWidth="1"/>
    <col min="14" max="14" width="12.5703125" style="80" customWidth="1"/>
    <col min="15" max="15" width="12.5703125" style="79" customWidth="1"/>
    <col min="16" max="16" width="12.5703125" style="80" customWidth="1"/>
    <col min="17" max="17" width="12.5703125" style="79" customWidth="1"/>
    <col min="18" max="18" width="12.5703125" style="80" customWidth="1"/>
    <col min="19" max="19" width="12.5703125" style="79" customWidth="1"/>
    <col min="20" max="20" width="12.5703125" style="80" customWidth="1"/>
    <col min="21" max="21" width="12.5703125" style="79" customWidth="1"/>
    <col min="22" max="22" width="12.5703125" style="80" customWidth="1"/>
    <col min="23" max="23" width="12.5703125" style="79" customWidth="1"/>
    <col min="24" max="24" width="12.5703125" style="80" customWidth="1"/>
    <col min="25" max="25" width="12.5703125" style="79" customWidth="1"/>
    <col min="26" max="26" width="12.5703125" style="80" customWidth="1"/>
    <col min="27" max="27" width="12.5703125" style="79" customWidth="1"/>
    <col min="28" max="28" width="12.5703125" style="80" customWidth="1"/>
    <col min="29" max="29" width="12.5703125" style="79" customWidth="1"/>
    <col min="30" max="30" width="12.5703125" style="80" customWidth="1"/>
    <col min="31" max="31" width="12.5703125" style="79" customWidth="1"/>
    <col min="32" max="32" width="12.5703125" style="80" customWidth="1"/>
    <col min="33" max="33" width="12.5703125" style="79" customWidth="1"/>
    <col min="34" max="34" width="12.5703125" style="80" customWidth="1"/>
    <col min="35" max="35" width="12.5703125" style="79" customWidth="1"/>
    <col min="36" max="36" width="12.5703125" style="80" customWidth="1"/>
    <col min="37" max="37" width="12.5703125" style="79" customWidth="1"/>
    <col min="38" max="38" width="12.5703125" style="80" customWidth="1"/>
    <col min="39" max="39" width="12.5703125" style="79" customWidth="1"/>
    <col min="40" max="40" width="12.5703125" style="80" customWidth="1"/>
    <col min="41" max="41" width="12.5703125" style="79" customWidth="1"/>
    <col min="42" max="42" width="12.5703125" style="80" customWidth="1"/>
    <col min="43" max="43" width="12.5703125" style="79" customWidth="1"/>
    <col min="44" max="44" width="12.5703125" style="80" customWidth="1"/>
    <col min="45" max="45" width="12.5703125" style="79" customWidth="1"/>
    <col min="46" max="46" width="12.5703125" style="80" customWidth="1"/>
    <col min="47" max="47" width="12.5703125" style="79" customWidth="1"/>
    <col min="48" max="48" width="12.5703125" style="80" customWidth="1"/>
    <col min="49" max="49" width="12.5703125" style="79" customWidth="1"/>
    <col min="50" max="50" width="12.5703125" style="80" customWidth="1"/>
    <col min="51" max="87" width="12.5703125" style="68" customWidth="1"/>
    <col min="88" max="94" width="9.140625" style="68" customWidth="1"/>
    <col min="95" max="16384" width="9.140625" style="68"/>
  </cols>
  <sheetData>
    <row r="1" spans="1:87" ht="15.75" customHeight="1" thickBot="1" x14ac:dyDescent="0.3">
      <c r="A1" s="107" t="s">
        <v>0</v>
      </c>
      <c r="B1" s="107" t="s">
        <v>1</v>
      </c>
      <c r="C1" s="108" t="s">
        <v>2</v>
      </c>
      <c r="D1" s="107" t="s">
        <v>3</v>
      </c>
      <c r="E1" s="108" t="s">
        <v>4</v>
      </c>
      <c r="F1" s="108" t="s">
        <v>5</v>
      </c>
      <c r="G1" s="107" t="s">
        <v>6</v>
      </c>
      <c r="H1" s="110" t="s">
        <v>7</v>
      </c>
      <c r="I1" s="107" t="s">
        <v>8</v>
      </c>
      <c r="J1" s="110" t="s">
        <v>9</v>
      </c>
      <c r="K1" s="107" t="s">
        <v>10</v>
      </c>
      <c r="L1" s="110" t="s">
        <v>11</v>
      </c>
      <c r="M1" s="107" t="s">
        <v>12</v>
      </c>
      <c r="N1" s="110" t="s">
        <v>13</v>
      </c>
      <c r="O1" s="107" t="s">
        <v>14</v>
      </c>
      <c r="P1" s="110" t="s">
        <v>15</v>
      </c>
      <c r="Q1" s="107" t="s">
        <v>16</v>
      </c>
      <c r="R1" s="110" t="s">
        <v>17</v>
      </c>
      <c r="S1" s="107" t="s">
        <v>18</v>
      </c>
      <c r="T1" s="110" t="s">
        <v>19</v>
      </c>
      <c r="U1" s="107" t="s">
        <v>20</v>
      </c>
      <c r="V1" s="110" t="s">
        <v>21</v>
      </c>
      <c r="W1" s="107" t="s">
        <v>22</v>
      </c>
      <c r="X1" s="110" t="s">
        <v>23</v>
      </c>
      <c r="Y1" s="107" t="s">
        <v>24</v>
      </c>
      <c r="Z1" s="110" t="s">
        <v>25</v>
      </c>
      <c r="AA1" s="107" t="s">
        <v>26</v>
      </c>
      <c r="AB1" s="110" t="s">
        <v>27</v>
      </c>
      <c r="AC1" s="107" t="s">
        <v>28</v>
      </c>
      <c r="AD1" s="110" t="s">
        <v>29</v>
      </c>
      <c r="AE1" s="107" t="s">
        <v>30</v>
      </c>
      <c r="AF1" s="110" t="s">
        <v>31</v>
      </c>
      <c r="AG1" s="107" t="s">
        <v>32</v>
      </c>
      <c r="AH1" s="110" t="s">
        <v>33</v>
      </c>
      <c r="AI1" s="107" t="s">
        <v>34</v>
      </c>
      <c r="AJ1" s="110" t="s">
        <v>35</v>
      </c>
      <c r="AK1" s="107" t="s">
        <v>36</v>
      </c>
      <c r="AL1" s="110" t="s">
        <v>37</v>
      </c>
      <c r="AM1" s="107" t="s">
        <v>38</v>
      </c>
      <c r="AN1" s="110" t="s">
        <v>39</v>
      </c>
      <c r="AO1" s="107" t="s">
        <v>40</v>
      </c>
      <c r="AP1" s="110" t="s">
        <v>41</v>
      </c>
      <c r="AQ1" s="107" t="s">
        <v>42</v>
      </c>
      <c r="AR1" s="110" t="s">
        <v>43</v>
      </c>
      <c r="AS1" s="107" t="s">
        <v>44</v>
      </c>
      <c r="AT1" s="110" t="s">
        <v>45</v>
      </c>
      <c r="AU1" s="107" t="s">
        <v>46</v>
      </c>
      <c r="AV1" s="110" t="s">
        <v>47</v>
      </c>
      <c r="AW1" s="107" t="s">
        <v>48</v>
      </c>
      <c r="AX1" s="110" t="s">
        <v>49</v>
      </c>
      <c r="AY1" s="109" t="s">
        <v>50</v>
      </c>
      <c r="AZ1" s="109" t="s">
        <v>51</v>
      </c>
      <c r="BA1" s="109" t="s">
        <v>52</v>
      </c>
      <c r="BB1" s="109" t="s">
        <v>53</v>
      </c>
      <c r="BC1" s="109" t="s">
        <v>54</v>
      </c>
      <c r="BD1" s="109" t="s">
        <v>55</v>
      </c>
      <c r="BE1" s="109" t="s">
        <v>56</v>
      </c>
      <c r="BF1" s="109" t="s">
        <v>57</v>
      </c>
      <c r="BG1" s="109" t="s">
        <v>58</v>
      </c>
      <c r="BH1" s="109" t="s">
        <v>59</v>
      </c>
      <c r="BI1" s="109" t="s">
        <v>60</v>
      </c>
      <c r="BJ1" s="109" t="s">
        <v>61</v>
      </c>
      <c r="BK1" s="109" t="s">
        <v>62</v>
      </c>
      <c r="BL1" s="109" t="s">
        <v>63</v>
      </c>
      <c r="BM1" s="109" t="s">
        <v>64</v>
      </c>
      <c r="BN1" s="109" t="s">
        <v>65</v>
      </c>
      <c r="BO1" s="109" t="s">
        <v>66</v>
      </c>
      <c r="BP1" s="109" t="s">
        <v>67</v>
      </c>
      <c r="BQ1" s="109" t="s">
        <v>68</v>
      </c>
      <c r="BR1" s="109" t="s">
        <v>69</v>
      </c>
      <c r="BS1" s="109" t="s">
        <v>70</v>
      </c>
      <c r="BT1" s="109" t="s">
        <v>71</v>
      </c>
      <c r="BU1" s="109" t="s">
        <v>72</v>
      </c>
      <c r="BV1" s="109" t="s">
        <v>73</v>
      </c>
      <c r="BW1" s="109" t="s">
        <v>74</v>
      </c>
      <c r="BX1" s="109" t="s">
        <v>75</v>
      </c>
      <c r="BY1" s="109" t="s">
        <v>76</v>
      </c>
      <c r="BZ1" s="109" t="s">
        <v>77</v>
      </c>
      <c r="CA1" s="109" t="s">
        <v>78</v>
      </c>
      <c r="CB1" s="109" t="s">
        <v>79</v>
      </c>
      <c r="CC1" s="109" t="s">
        <v>80</v>
      </c>
      <c r="CD1" s="109" t="s">
        <v>81</v>
      </c>
      <c r="CE1" s="109" t="s">
        <v>82</v>
      </c>
      <c r="CF1" s="109" t="s">
        <v>83</v>
      </c>
      <c r="CG1" s="109" t="s">
        <v>84</v>
      </c>
      <c r="CH1" s="109" t="s">
        <v>85</v>
      </c>
      <c r="CI1" s="109" t="s">
        <v>86</v>
      </c>
    </row>
    <row r="2" spans="1:87" x14ac:dyDescent="0.25">
      <c r="A2" s="79" t="s">
        <v>87</v>
      </c>
      <c r="B2" s="79">
        <v>0</v>
      </c>
      <c r="C2" s="68">
        <v>0</v>
      </c>
      <c r="D2" s="79">
        <v>0</v>
      </c>
      <c r="E2" s="68">
        <f t="shared" ref="E2:E33" si="0">SUM(G2:BT2)</f>
        <v>0</v>
      </c>
      <c r="F2" s="68" t="e">
        <f t="shared" ref="F2:F33" si="1">ROUND(AVERAGE(G2:BT2),1)</f>
        <v>#DIV/0!</v>
      </c>
    </row>
    <row r="3" spans="1:87" x14ac:dyDescent="0.25">
      <c r="A3" s="79" t="s">
        <v>88</v>
      </c>
      <c r="B3" s="79">
        <v>0</v>
      </c>
      <c r="C3" s="68">
        <v>0</v>
      </c>
      <c r="D3" s="79">
        <v>0</v>
      </c>
      <c r="E3" s="68">
        <f t="shared" si="0"/>
        <v>0</v>
      </c>
      <c r="F3" s="68" t="e">
        <f t="shared" si="1"/>
        <v>#DIV/0!</v>
      </c>
      <c r="AO3" s="68"/>
      <c r="AP3" s="68"/>
    </row>
    <row r="4" spans="1:87" x14ac:dyDescent="0.25">
      <c r="A4" s="79" t="s">
        <v>89</v>
      </c>
      <c r="B4" s="79">
        <v>3</v>
      </c>
      <c r="C4" s="68">
        <v>1</v>
      </c>
      <c r="D4" s="79">
        <v>3</v>
      </c>
      <c r="E4" s="68">
        <f t="shared" si="0"/>
        <v>5</v>
      </c>
      <c r="F4" s="68">
        <f t="shared" si="1"/>
        <v>1.7</v>
      </c>
      <c r="AI4" s="68"/>
      <c r="AJ4" s="68"/>
      <c r="AK4" s="68"/>
      <c r="AL4" s="68"/>
      <c r="AM4" s="68"/>
      <c r="AN4" s="68"/>
      <c r="AO4">
        <v>2</v>
      </c>
      <c r="AP4" t="s">
        <v>90</v>
      </c>
      <c r="AU4" s="68"/>
      <c r="AV4" s="68"/>
      <c r="BE4">
        <v>2</v>
      </c>
      <c r="BF4">
        <v>1</v>
      </c>
      <c r="BG4" t="s">
        <v>90</v>
      </c>
      <c r="BH4" t="s">
        <v>90</v>
      </c>
    </row>
    <row r="5" spans="1:87" x14ac:dyDescent="0.25">
      <c r="A5" s="79" t="s">
        <v>91</v>
      </c>
      <c r="B5" s="79">
        <v>0</v>
      </c>
      <c r="C5" s="68">
        <v>0</v>
      </c>
      <c r="D5" s="79">
        <v>11</v>
      </c>
      <c r="E5" s="68">
        <f t="shared" si="0"/>
        <v>61</v>
      </c>
      <c r="F5" s="68">
        <f t="shared" si="1"/>
        <v>2.8</v>
      </c>
      <c r="AM5">
        <v>3</v>
      </c>
      <c r="AN5">
        <v>3</v>
      </c>
      <c r="AO5" s="120">
        <v>3</v>
      </c>
      <c r="AP5" s="121">
        <v>2</v>
      </c>
      <c r="AS5" s="120">
        <v>3</v>
      </c>
      <c r="AT5" s="121">
        <v>3</v>
      </c>
      <c r="AU5">
        <v>3</v>
      </c>
      <c r="AV5">
        <v>3</v>
      </c>
      <c r="AY5">
        <v>3</v>
      </c>
      <c r="AZ5">
        <v>3</v>
      </c>
      <c r="BA5">
        <v>3</v>
      </c>
      <c r="BB5">
        <v>3</v>
      </c>
      <c r="BC5">
        <v>3</v>
      </c>
      <c r="BD5">
        <v>2</v>
      </c>
      <c r="BE5">
        <v>3</v>
      </c>
      <c r="BF5">
        <v>3</v>
      </c>
      <c r="BG5">
        <v>2</v>
      </c>
      <c r="BH5">
        <v>2</v>
      </c>
      <c r="BQ5">
        <v>3</v>
      </c>
      <c r="BR5">
        <v>3</v>
      </c>
      <c r="BS5">
        <v>2</v>
      </c>
      <c r="BT5">
        <v>3</v>
      </c>
    </row>
    <row r="6" spans="1:87" x14ac:dyDescent="0.25">
      <c r="A6" s="79" t="s">
        <v>92</v>
      </c>
      <c r="B6" s="79">
        <v>0</v>
      </c>
      <c r="C6" s="68">
        <v>0</v>
      </c>
      <c r="D6" s="79">
        <v>4</v>
      </c>
      <c r="E6" s="68">
        <f t="shared" si="0"/>
        <v>22</v>
      </c>
      <c r="F6" s="68">
        <f t="shared" si="1"/>
        <v>2.8</v>
      </c>
      <c r="BI6">
        <v>3</v>
      </c>
      <c r="BJ6">
        <v>3</v>
      </c>
      <c r="BK6">
        <v>2</v>
      </c>
      <c r="BL6">
        <v>3</v>
      </c>
      <c r="BO6">
        <v>3</v>
      </c>
      <c r="BP6">
        <v>3</v>
      </c>
      <c r="BQ6">
        <v>3</v>
      </c>
      <c r="BR6">
        <v>2</v>
      </c>
    </row>
    <row r="7" spans="1:87" x14ac:dyDescent="0.25">
      <c r="A7" s="79" t="s">
        <v>93</v>
      </c>
      <c r="B7" s="79">
        <v>1</v>
      </c>
      <c r="C7" s="68">
        <v>0</v>
      </c>
      <c r="D7" s="79">
        <v>2</v>
      </c>
      <c r="E7" s="68">
        <f t="shared" si="0"/>
        <v>6</v>
      </c>
      <c r="F7" s="68">
        <f t="shared" si="1"/>
        <v>2</v>
      </c>
      <c r="AM7" s="68"/>
      <c r="AN7" s="68"/>
      <c r="AU7" s="68"/>
      <c r="AV7" s="68"/>
      <c r="BE7">
        <v>2</v>
      </c>
      <c r="BF7" t="s">
        <v>90</v>
      </c>
      <c r="BG7">
        <v>2</v>
      </c>
      <c r="BH7">
        <v>2</v>
      </c>
    </row>
    <row r="8" spans="1:87" x14ac:dyDescent="0.25">
      <c r="A8" s="79" t="s">
        <v>94</v>
      </c>
      <c r="B8" s="79">
        <v>15</v>
      </c>
      <c r="C8" s="68">
        <v>5</v>
      </c>
      <c r="D8" s="79">
        <v>22</v>
      </c>
      <c r="E8" s="68">
        <f t="shared" si="0"/>
        <v>50</v>
      </c>
      <c r="F8" s="68">
        <f t="shared" si="1"/>
        <v>1.7</v>
      </c>
      <c r="G8" s="79">
        <v>2</v>
      </c>
      <c r="H8" s="80">
        <v>1</v>
      </c>
      <c r="I8" s="79">
        <v>0</v>
      </c>
      <c r="J8" s="80">
        <v>0</v>
      </c>
      <c r="K8" s="79">
        <v>2</v>
      </c>
      <c r="L8" s="80">
        <v>1</v>
      </c>
      <c r="M8" s="79">
        <v>1</v>
      </c>
      <c r="N8" s="80">
        <v>0</v>
      </c>
      <c r="O8" s="79">
        <v>1</v>
      </c>
      <c r="P8" s="80">
        <v>0</v>
      </c>
      <c r="Q8" s="79" t="s">
        <v>90</v>
      </c>
      <c r="R8" s="80" t="s">
        <v>90</v>
      </c>
      <c r="W8" s="79" t="s">
        <v>90</v>
      </c>
      <c r="X8" s="80" t="s">
        <v>90</v>
      </c>
      <c r="Y8" s="79">
        <v>3</v>
      </c>
      <c r="Z8" s="80">
        <v>3</v>
      </c>
      <c r="AA8" s="79">
        <v>2</v>
      </c>
      <c r="AB8" s="80">
        <v>2</v>
      </c>
      <c r="AC8" s="79" t="s">
        <v>90</v>
      </c>
      <c r="AD8" s="80" t="s">
        <v>90</v>
      </c>
      <c r="AI8" s="120" t="s">
        <v>90</v>
      </c>
      <c r="AJ8" s="121" t="s">
        <v>90</v>
      </c>
      <c r="AK8" s="120">
        <v>2</v>
      </c>
      <c r="AL8" s="121" t="s">
        <v>90</v>
      </c>
      <c r="AM8" s="120">
        <v>3</v>
      </c>
      <c r="AN8" s="121">
        <v>1</v>
      </c>
      <c r="AO8" s="120">
        <v>2</v>
      </c>
      <c r="AP8" s="121" t="s">
        <v>90</v>
      </c>
      <c r="AU8" s="120" t="s">
        <v>90</v>
      </c>
      <c r="AV8" s="121" t="s">
        <v>90</v>
      </c>
      <c r="AY8">
        <v>2</v>
      </c>
      <c r="AZ8" t="s">
        <v>90</v>
      </c>
      <c r="BA8">
        <v>2</v>
      </c>
      <c r="BB8" t="s">
        <v>90</v>
      </c>
      <c r="BE8">
        <v>2</v>
      </c>
      <c r="BF8">
        <v>3</v>
      </c>
      <c r="BI8">
        <v>3</v>
      </c>
      <c r="BJ8">
        <v>3</v>
      </c>
      <c r="BK8">
        <v>3</v>
      </c>
      <c r="BL8">
        <v>2</v>
      </c>
      <c r="BO8">
        <v>1</v>
      </c>
      <c r="BP8">
        <v>2</v>
      </c>
      <c r="BQ8">
        <v>1</v>
      </c>
      <c r="BR8" t="s">
        <v>90</v>
      </c>
    </row>
    <row r="9" spans="1:87" x14ac:dyDescent="0.25">
      <c r="A9" s="79" t="s">
        <v>95</v>
      </c>
      <c r="B9" s="79">
        <v>0</v>
      </c>
      <c r="C9" s="68">
        <v>0</v>
      </c>
      <c r="D9" s="79">
        <v>9</v>
      </c>
      <c r="E9" s="68">
        <f t="shared" si="0"/>
        <v>51</v>
      </c>
      <c r="F9" s="68">
        <f t="shared" si="1"/>
        <v>2.8</v>
      </c>
      <c r="K9" s="79">
        <v>3</v>
      </c>
      <c r="L9" s="80">
        <v>3</v>
      </c>
      <c r="M9" s="79">
        <v>3</v>
      </c>
      <c r="N9" s="80">
        <v>3</v>
      </c>
      <c r="Q9" s="79">
        <v>3</v>
      </c>
      <c r="R9" s="80">
        <v>3</v>
      </c>
      <c r="AC9" s="79">
        <v>2</v>
      </c>
      <c r="AD9" s="80">
        <v>2</v>
      </c>
      <c r="AI9" s="68"/>
      <c r="AJ9" s="68"/>
      <c r="AK9" s="68"/>
      <c r="AL9" s="68"/>
      <c r="AM9">
        <v>3</v>
      </c>
      <c r="AN9">
        <v>3</v>
      </c>
      <c r="AU9" s="120">
        <v>3</v>
      </c>
      <c r="AV9" s="121">
        <v>3</v>
      </c>
      <c r="BC9">
        <v>3</v>
      </c>
      <c r="BD9">
        <v>3</v>
      </c>
      <c r="BE9">
        <v>3</v>
      </c>
      <c r="BF9">
        <v>3</v>
      </c>
      <c r="BG9">
        <v>3</v>
      </c>
      <c r="BH9">
        <v>2</v>
      </c>
    </row>
    <row r="10" spans="1:87" x14ac:dyDescent="0.25">
      <c r="A10" s="79" t="s">
        <v>96</v>
      </c>
      <c r="B10" s="79">
        <v>1</v>
      </c>
      <c r="C10" s="68">
        <v>0</v>
      </c>
      <c r="D10" s="79">
        <v>1</v>
      </c>
      <c r="E10" s="68">
        <f t="shared" si="0"/>
        <v>3</v>
      </c>
      <c r="F10" s="68">
        <f t="shared" si="1"/>
        <v>3</v>
      </c>
      <c r="AS10" s="68"/>
      <c r="AT10" s="68"/>
      <c r="BA10">
        <v>3</v>
      </c>
      <c r="BB10" t="s">
        <v>90</v>
      </c>
    </row>
    <row r="11" spans="1:87" x14ac:dyDescent="0.25">
      <c r="A11" s="79" t="s">
        <v>97</v>
      </c>
      <c r="B11" s="79">
        <v>0</v>
      </c>
      <c r="C11" s="68">
        <v>0</v>
      </c>
      <c r="D11" s="79">
        <v>11</v>
      </c>
      <c r="E11" s="68">
        <f t="shared" si="0"/>
        <v>47</v>
      </c>
      <c r="F11" s="68">
        <f t="shared" si="1"/>
        <v>2.1</v>
      </c>
      <c r="AM11">
        <v>1</v>
      </c>
      <c r="AN11">
        <v>3</v>
      </c>
      <c r="AO11">
        <v>3</v>
      </c>
      <c r="AP11">
        <v>3</v>
      </c>
      <c r="AS11">
        <v>0</v>
      </c>
      <c r="AT11">
        <v>0</v>
      </c>
      <c r="AU11">
        <v>2</v>
      </c>
      <c r="AV11">
        <v>3</v>
      </c>
      <c r="AY11">
        <v>3</v>
      </c>
      <c r="AZ11">
        <v>2</v>
      </c>
      <c r="BA11">
        <v>1</v>
      </c>
      <c r="BB11">
        <v>2</v>
      </c>
      <c r="BC11">
        <v>1</v>
      </c>
      <c r="BD11">
        <v>3</v>
      </c>
      <c r="BG11">
        <v>3</v>
      </c>
      <c r="BH11">
        <v>3</v>
      </c>
      <c r="BK11">
        <v>2</v>
      </c>
      <c r="BL11">
        <v>3</v>
      </c>
      <c r="BQ11">
        <v>3</v>
      </c>
      <c r="BR11">
        <v>2</v>
      </c>
      <c r="BS11">
        <v>2</v>
      </c>
      <c r="BT11">
        <v>2</v>
      </c>
    </row>
    <row r="12" spans="1:87" x14ac:dyDescent="0.25">
      <c r="A12" s="79" t="s">
        <v>98</v>
      </c>
      <c r="B12" s="79">
        <v>6</v>
      </c>
      <c r="C12" s="68">
        <v>3</v>
      </c>
      <c r="D12" s="79">
        <v>18</v>
      </c>
      <c r="E12" s="68">
        <f t="shared" si="0"/>
        <v>74</v>
      </c>
      <c r="F12" s="68">
        <f t="shared" si="1"/>
        <v>2.5</v>
      </c>
      <c r="G12" s="79">
        <v>3</v>
      </c>
      <c r="H12" s="80">
        <v>3</v>
      </c>
      <c r="I12" s="79">
        <v>3</v>
      </c>
      <c r="J12" s="80">
        <v>2</v>
      </c>
      <c r="K12" s="79">
        <v>2</v>
      </c>
      <c r="L12" s="80">
        <v>3</v>
      </c>
      <c r="O12" s="79">
        <v>3</v>
      </c>
      <c r="P12" s="80">
        <v>2</v>
      </c>
      <c r="Q12" s="79">
        <v>3</v>
      </c>
      <c r="R12" s="80">
        <v>2</v>
      </c>
      <c r="S12" s="79">
        <v>2</v>
      </c>
      <c r="T12" s="80">
        <v>2</v>
      </c>
      <c r="U12" s="79">
        <v>3</v>
      </c>
      <c r="V12" s="80">
        <v>3</v>
      </c>
      <c r="W12" s="79">
        <v>3</v>
      </c>
      <c r="X12" s="80">
        <v>3</v>
      </c>
      <c r="Y12" s="79">
        <v>1</v>
      </c>
      <c r="Z12" s="80">
        <v>1</v>
      </c>
      <c r="AA12" s="79">
        <v>2</v>
      </c>
      <c r="AB12" s="80">
        <v>2</v>
      </c>
      <c r="AC12" s="79">
        <v>2</v>
      </c>
      <c r="AD12" s="80">
        <v>3</v>
      </c>
      <c r="AI12" s="68"/>
      <c r="AJ12" s="68"/>
      <c r="AK12" s="68"/>
      <c r="AL12" s="68"/>
      <c r="AM12">
        <v>3</v>
      </c>
      <c r="AN12">
        <v>3</v>
      </c>
      <c r="AO12" s="68"/>
      <c r="AP12" s="68"/>
      <c r="AS12" s="68"/>
      <c r="AT12" s="68"/>
      <c r="AU12">
        <v>3</v>
      </c>
      <c r="AV12">
        <v>3</v>
      </c>
      <c r="BA12" t="s">
        <v>90</v>
      </c>
      <c r="BB12" t="s">
        <v>90</v>
      </c>
      <c r="BC12">
        <v>3</v>
      </c>
      <c r="BD12">
        <v>3</v>
      </c>
      <c r="BG12" t="s">
        <v>90</v>
      </c>
      <c r="BH12" t="s">
        <v>90</v>
      </c>
      <c r="BM12" t="s">
        <v>90</v>
      </c>
      <c r="BN12" t="s">
        <v>90</v>
      </c>
      <c r="BQ12">
        <v>1</v>
      </c>
      <c r="BR12">
        <v>2</v>
      </c>
    </row>
    <row r="13" spans="1:87" x14ac:dyDescent="0.25">
      <c r="A13" s="79" t="s">
        <v>99</v>
      </c>
      <c r="B13" s="79">
        <v>0</v>
      </c>
      <c r="C13" s="68">
        <v>0</v>
      </c>
      <c r="D13" s="79">
        <v>1</v>
      </c>
      <c r="E13" s="68">
        <f t="shared" si="0"/>
        <v>5</v>
      </c>
      <c r="F13" s="68">
        <f t="shared" si="1"/>
        <v>2.5</v>
      </c>
      <c r="AI13" s="68"/>
      <c r="AJ13" s="68"/>
      <c r="AK13" s="68"/>
      <c r="AL13" s="68"/>
      <c r="AM13" s="68"/>
      <c r="AN13" s="68"/>
      <c r="AU13" s="68"/>
      <c r="AV13" s="68"/>
      <c r="BE13">
        <v>2</v>
      </c>
      <c r="BF13">
        <v>3</v>
      </c>
    </row>
    <row r="14" spans="1:87" x14ac:dyDescent="0.25">
      <c r="A14" s="79" t="s">
        <v>100</v>
      </c>
      <c r="B14" s="79">
        <v>2</v>
      </c>
      <c r="C14" s="68">
        <v>0</v>
      </c>
      <c r="D14" s="79">
        <v>3</v>
      </c>
      <c r="E14" s="68">
        <f t="shared" si="0"/>
        <v>10</v>
      </c>
      <c r="F14" s="68">
        <f t="shared" si="1"/>
        <v>2.5</v>
      </c>
      <c r="BO14">
        <v>3</v>
      </c>
      <c r="BP14">
        <v>3</v>
      </c>
      <c r="BQ14">
        <v>1</v>
      </c>
      <c r="BR14" t="s">
        <v>90</v>
      </c>
      <c r="BS14">
        <v>3</v>
      </c>
      <c r="BT14" t="s">
        <v>90</v>
      </c>
    </row>
    <row r="15" spans="1:87" x14ac:dyDescent="0.25">
      <c r="A15" s="79" t="s">
        <v>101</v>
      </c>
      <c r="B15" s="79">
        <v>0</v>
      </c>
      <c r="C15" s="68">
        <v>0</v>
      </c>
      <c r="D15" s="79">
        <v>0</v>
      </c>
      <c r="E15" s="68">
        <f t="shared" si="0"/>
        <v>0</v>
      </c>
      <c r="F15" s="68" t="e">
        <f t="shared" si="1"/>
        <v>#DIV/0!</v>
      </c>
    </row>
    <row r="16" spans="1:87" x14ac:dyDescent="0.25">
      <c r="A16" s="79" t="s">
        <v>102</v>
      </c>
      <c r="B16" s="79">
        <v>7</v>
      </c>
      <c r="C16" s="68">
        <v>3</v>
      </c>
      <c r="D16" s="79">
        <v>6</v>
      </c>
      <c r="E16" s="68">
        <f t="shared" si="0"/>
        <v>8</v>
      </c>
      <c r="F16" s="68">
        <f t="shared" si="1"/>
        <v>1.6</v>
      </c>
      <c r="I16" s="79">
        <v>2</v>
      </c>
      <c r="J16" s="80" t="s">
        <v>90</v>
      </c>
      <c r="O16" s="79" t="s">
        <v>90</v>
      </c>
      <c r="P16" s="80" t="s">
        <v>90</v>
      </c>
      <c r="S16" s="79">
        <v>1</v>
      </c>
      <c r="T16" s="80">
        <v>1</v>
      </c>
      <c r="AI16" t="s">
        <v>90</v>
      </c>
      <c r="AJ16" t="s">
        <v>90</v>
      </c>
      <c r="AK16">
        <v>2</v>
      </c>
      <c r="AL16">
        <v>2</v>
      </c>
      <c r="AM16" s="120" t="s">
        <v>90</v>
      </c>
      <c r="AN16" s="121" t="s">
        <v>90</v>
      </c>
      <c r="AO16" s="68"/>
      <c r="AP16" s="68"/>
      <c r="AS16" s="68"/>
      <c r="AT16" s="68"/>
    </row>
    <row r="17" spans="1:72" x14ac:dyDescent="0.25">
      <c r="A17" s="79" t="s">
        <v>103</v>
      </c>
      <c r="B17" s="79">
        <v>6</v>
      </c>
      <c r="C17" s="68">
        <v>2</v>
      </c>
      <c r="D17" s="79">
        <v>10</v>
      </c>
      <c r="E17" s="68">
        <f t="shared" si="0"/>
        <v>29</v>
      </c>
      <c r="F17" s="68">
        <f t="shared" si="1"/>
        <v>2.1</v>
      </c>
      <c r="Q17" s="79">
        <v>3</v>
      </c>
      <c r="R17" s="80">
        <v>2</v>
      </c>
      <c r="U17" s="79">
        <v>3</v>
      </c>
      <c r="V17" s="80">
        <v>1</v>
      </c>
      <c r="Y17" s="79">
        <v>2</v>
      </c>
      <c r="Z17" s="80">
        <v>2</v>
      </c>
      <c r="AA17" s="79">
        <v>3</v>
      </c>
      <c r="AB17" s="80" t="s">
        <v>90</v>
      </c>
      <c r="AE17" s="79">
        <v>2</v>
      </c>
      <c r="AF17" s="80">
        <v>1</v>
      </c>
      <c r="AI17" s="68"/>
      <c r="AJ17" s="68"/>
      <c r="AK17" s="68"/>
      <c r="AL17" s="68"/>
      <c r="AS17" s="120">
        <v>1</v>
      </c>
      <c r="AT17" s="121">
        <v>2</v>
      </c>
      <c r="AY17" t="s">
        <v>90</v>
      </c>
      <c r="AZ17" t="s">
        <v>90</v>
      </c>
      <c r="BK17" t="s">
        <v>90</v>
      </c>
      <c r="BL17" t="s">
        <v>90</v>
      </c>
      <c r="BO17">
        <v>2</v>
      </c>
      <c r="BP17" t="s">
        <v>90</v>
      </c>
      <c r="BQ17">
        <v>3</v>
      </c>
      <c r="BR17">
        <v>2</v>
      </c>
    </row>
    <row r="18" spans="1:72" x14ac:dyDescent="0.25">
      <c r="A18" s="79" t="s">
        <v>104</v>
      </c>
      <c r="B18" s="79">
        <v>0</v>
      </c>
      <c r="C18" s="68">
        <v>0</v>
      </c>
      <c r="D18" s="79">
        <v>1</v>
      </c>
      <c r="E18" s="68">
        <f t="shared" si="0"/>
        <v>5</v>
      </c>
      <c r="F18" s="68">
        <f t="shared" si="1"/>
        <v>2.5</v>
      </c>
      <c r="BA18">
        <v>2</v>
      </c>
      <c r="BB18">
        <v>3</v>
      </c>
    </row>
    <row r="19" spans="1:72" x14ac:dyDescent="0.25">
      <c r="A19" s="79" t="s">
        <v>105</v>
      </c>
      <c r="B19" s="79">
        <v>3</v>
      </c>
      <c r="C19" s="68">
        <v>1</v>
      </c>
      <c r="D19" s="79">
        <v>16</v>
      </c>
      <c r="E19" s="68">
        <f t="shared" si="0"/>
        <v>55</v>
      </c>
      <c r="F19" s="68">
        <f t="shared" si="1"/>
        <v>1.9</v>
      </c>
      <c r="G19" s="79">
        <v>1</v>
      </c>
      <c r="H19" s="80">
        <v>2</v>
      </c>
      <c r="I19" s="79">
        <v>1</v>
      </c>
      <c r="J19" s="80">
        <v>3</v>
      </c>
      <c r="M19" s="79">
        <v>0</v>
      </c>
      <c r="N19" s="80">
        <v>3</v>
      </c>
      <c r="O19" s="79">
        <v>3</v>
      </c>
      <c r="P19" s="80">
        <v>3</v>
      </c>
      <c r="U19" s="79">
        <v>3</v>
      </c>
      <c r="V19" s="80">
        <v>3</v>
      </c>
      <c r="W19" s="79">
        <v>1</v>
      </c>
      <c r="X19" s="80">
        <v>2</v>
      </c>
      <c r="Y19" s="79">
        <v>3</v>
      </c>
      <c r="Z19" s="80">
        <v>0</v>
      </c>
      <c r="AA19" s="79">
        <v>2</v>
      </c>
      <c r="AB19" s="80">
        <v>2</v>
      </c>
      <c r="AI19" s="68"/>
      <c r="AJ19" s="68"/>
      <c r="AK19" s="68"/>
      <c r="AL19" s="68"/>
      <c r="AM19" s="120">
        <v>2</v>
      </c>
      <c r="AN19" s="121">
        <v>1</v>
      </c>
      <c r="AO19" s="120">
        <v>2</v>
      </c>
      <c r="AP19" s="121">
        <v>2</v>
      </c>
      <c r="AS19" s="120">
        <v>1</v>
      </c>
      <c r="AT19" s="121">
        <v>2</v>
      </c>
      <c r="AU19" s="120">
        <v>3</v>
      </c>
      <c r="AV19" s="121">
        <v>1</v>
      </c>
      <c r="BG19">
        <v>2</v>
      </c>
      <c r="BH19">
        <v>1</v>
      </c>
      <c r="BI19">
        <v>1</v>
      </c>
      <c r="BJ19" t="s">
        <v>90</v>
      </c>
      <c r="BK19">
        <v>2</v>
      </c>
      <c r="BL19">
        <v>3</v>
      </c>
      <c r="BM19" t="s">
        <v>90</v>
      </c>
      <c r="BN19" t="s">
        <v>90</v>
      </c>
    </row>
    <row r="20" spans="1:72" x14ac:dyDescent="0.25">
      <c r="A20" s="79" t="s">
        <v>106</v>
      </c>
      <c r="B20" s="79">
        <v>5</v>
      </c>
      <c r="C20" s="68">
        <v>1</v>
      </c>
      <c r="D20" s="79">
        <v>20</v>
      </c>
      <c r="E20" s="68">
        <f t="shared" si="0"/>
        <v>87</v>
      </c>
      <c r="F20" s="68">
        <f t="shared" si="1"/>
        <v>2.5</v>
      </c>
      <c r="I20" s="79">
        <v>3</v>
      </c>
      <c r="J20" s="80">
        <v>1</v>
      </c>
      <c r="K20" s="79">
        <v>3</v>
      </c>
      <c r="L20" s="80">
        <v>3</v>
      </c>
      <c r="O20" s="79">
        <v>3</v>
      </c>
      <c r="P20" s="80">
        <v>1</v>
      </c>
      <c r="Q20" s="79">
        <v>3</v>
      </c>
      <c r="R20" s="80">
        <v>3</v>
      </c>
      <c r="U20" s="79">
        <v>3</v>
      </c>
      <c r="V20" s="80">
        <v>1</v>
      </c>
      <c r="AA20" s="79">
        <v>3</v>
      </c>
      <c r="AB20" s="80">
        <v>3</v>
      </c>
      <c r="AC20" s="79">
        <v>2</v>
      </c>
      <c r="AD20" s="80">
        <v>2</v>
      </c>
      <c r="AE20" s="79">
        <v>3</v>
      </c>
      <c r="AF20" s="80" t="s">
        <v>90</v>
      </c>
      <c r="AI20" s="120" t="s">
        <v>90</v>
      </c>
      <c r="AJ20" s="121" t="s">
        <v>90</v>
      </c>
      <c r="AK20" s="120">
        <v>3</v>
      </c>
      <c r="AL20" s="121">
        <v>2</v>
      </c>
      <c r="AM20">
        <v>3</v>
      </c>
      <c r="AN20">
        <v>3</v>
      </c>
      <c r="AO20" s="120">
        <v>1</v>
      </c>
      <c r="AP20" s="121">
        <v>1</v>
      </c>
      <c r="AS20" s="120">
        <v>3</v>
      </c>
      <c r="AT20" s="121">
        <v>3</v>
      </c>
      <c r="AU20" s="120">
        <v>3</v>
      </c>
      <c r="AV20" s="121">
        <v>3</v>
      </c>
      <c r="AY20">
        <v>3</v>
      </c>
      <c r="AZ20">
        <v>3</v>
      </c>
      <c r="BA20">
        <v>1</v>
      </c>
      <c r="BB20" t="s">
        <v>90</v>
      </c>
      <c r="BC20">
        <v>3</v>
      </c>
      <c r="BD20">
        <v>3</v>
      </c>
      <c r="BI20">
        <v>3</v>
      </c>
      <c r="BJ20">
        <v>3</v>
      </c>
      <c r="BK20">
        <v>1</v>
      </c>
      <c r="BL20" t="s">
        <v>90</v>
      </c>
      <c r="BO20">
        <v>3</v>
      </c>
      <c r="BP20">
        <v>2</v>
      </c>
    </row>
    <row r="21" spans="1:72" x14ac:dyDescent="0.25">
      <c r="A21" s="79" t="s">
        <v>107</v>
      </c>
      <c r="B21" s="79">
        <v>2</v>
      </c>
      <c r="C21" s="68">
        <v>1</v>
      </c>
      <c r="D21" s="79">
        <v>12</v>
      </c>
      <c r="E21" s="68">
        <f t="shared" si="0"/>
        <v>57</v>
      </c>
      <c r="F21" s="68">
        <f t="shared" si="1"/>
        <v>2.6</v>
      </c>
      <c r="S21" s="79">
        <v>2</v>
      </c>
      <c r="T21" s="80">
        <v>3</v>
      </c>
      <c r="W21" s="79">
        <v>2</v>
      </c>
      <c r="X21" s="80">
        <v>2</v>
      </c>
      <c r="Y21" s="79">
        <v>3</v>
      </c>
      <c r="Z21" s="80">
        <v>3</v>
      </c>
      <c r="AA21" s="79">
        <v>3</v>
      </c>
      <c r="AB21" s="80">
        <v>3</v>
      </c>
      <c r="AC21" s="79">
        <v>3</v>
      </c>
      <c r="AD21" s="80">
        <v>3</v>
      </c>
      <c r="AI21" s="120" t="s">
        <v>90</v>
      </c>
      <c r="AJ21" s="121" t="s">
        <v>90</v>
      </c>
      <c r="AK21" s="120">
        <v>3</v>
      </c>
      <c r="AL21" s="121">
        <v>3</v>
      </c>
      <c r="AM21" s="120">
        <v>2</v>
      </c>
      <c r="AN21" s="121">
        <v>2</v>
      </c>
      <c r="AU21">
        <v>3</v>
      </c>
      <c r="AV21">
        <v>3</v>
      </c>
      <c r="BA21">
        <v>1</v>
      </c>
      <c r="BB21">
        <v>1</v>
      </c>
      <c r="BQ21">
        <v>3</v>
      </c>
      <c r="BR21">
        <v>3</v>
      </c>
      <c r="BS21">
        <v>3</v>
      </c>
      <c r="BT21">
        <v>3</v>
      </c>
    </row>
    <row r="22" spans="1:72" x14ac:dyDescent="0.25">
      <c r="A22" s="79" t="s">
        <v>108</v>
      </c>
      <c r="B22" s="79">
        <v>1</v>
      </c>
      <c r="C22" s="68">
        <v>0</v>
      </c>
      <c r="D22" s="79">
        <v>8</v>
      </c>
      <c r="E22" s="68">
        <f t="shared" si="0"/>
        <v>42</v>
      </c>
      <c r="F22" s="68">
        <f t="shared" si="1"/>
        <v>2.8</v>
      </c>
      <c r="G22" s="79">
        <v>1</v>
      </c>
      <c r="H22" s="80">
        <v>2</v>
      </c>
      <c r="I22" s="79">
        <v>3</v>
      </c>
      <c r="J22" s="80">
        <v>3</v>
      </c>
      <c r="Y22" s="79">
        <v>3</v>
      </c>
      <c r="Z22" s="80">
        <v>3</v>
      </c>
      <c r="AI22" s="68"/>
      <c r="AJ22" s="68"/>
      <c r="AK22" s="68"/>
      <c r="AL22" s="68"/>
      <c r="AM22" s="68"/>
      <c r="AN22" s="68"/>
      <c r="AS22" s="68"/>
      <c r="AT22" s="68"/>
      <c r="AY22">
        <v>3</v>
      </c>
      <c r="AZ22">
        <v>3</v>
      </c>
      <c r="BA22">
        <v>3</v>
      </c>
      <c r="BB22">
        <v>3</v>
      </c>
      <c r="BC22">
        <v>3</v>
      </c>
      <c r="BD22">
        <v>3</v>
      </c>
      <c r="BE22">
        <v>3</v>
      </c>
      <c r="BF22">
        <v>3</v>
      </c>
      <c r="BG22">
        <v>3</v>
      </c>
      <c r="BH22" t="s">
        <v>90</v>
      </c>
    </row>
    <row r="23" spans="1:72" x14ac:dyDescent="0.25">
      <c r="A23" s="79" t="s">
        <v>109</v>
      </c>
      <c r="B23" s="79">
        <v>1</v>
      </c>
      <c r="C23" s="68">
        <v>0</v>
      </c>
      <c r="D23" s="79">
        <v>6</v>
      </c>
      <c r="E23" s="68">
        <f t="shared" si="0"/>
        <v>27</v>
      </c>
      <c r="F23" s="68">
        <f t="shared" si="1"/>
        <v>2.5</v>
      </c>
      <c r="AI23" s="68"/>
      <c r="AJ23" s="68"/>
      <c r="AK23" s="68"/>
      <c r="AL23" s="68"/>
      <c r="AM23">
        <v>2</v>
      </c>
      <c r="AN23">
        <v>2</v>
      </c>
      <c r="AO23" s="120">
        <v>3</v>
      </c>
      <c r="AP23" s="121">
        <v>3</v>
      </c>
      <c r="AS23">
        <v>2</v>
      </c>
      <c r="AT23">
        <v>2</v>
      </c>
      <c r="AU23" s="68"/>
      <c r="AV23" s="68"/>
      <c r="AY23">
        <v>3</v>
      </c>
      <c r="AZ23">
        <v>2</v>
      </c>
      <c r="BE23">
        <v>3</v>
      </c>
      <c r="BF23" t="s">
        <v>90</v>
      </c>
      <c r="BS23">
        <v>2</v>
      </c>
      <c r="BT23">
        <v>3</v>
      </c>
    </row>
    <row r="24" spans="1:72" x14ac:dyDescent="0.25">
      <c r="A24" s="79" t="s">
        <v>110</v>
      </c>
      <c r="B24" s="79">
        <v>0</v>
      </c>
      <c r="C24" s="68">
        <v>0</v>
      </c>
      <c r="D24" s="79">
        <v>5</v>
      </c>
      <c r="E24" s="68">
        <f t="shared" si="0"/>
        <v>25</v>
      </c>
      <c r="F24" s="68">
        <f t="shared" si="1"/>
        <v>2.5</v>
      </c>
      <c r="AE24" s="79">
        <v>3</v>
      </c>
      <c r="AF24" s="80">
        <v>1</v>
      </c>
      <c r="AI24" s="68"/>
      <c r="AJ24" s="68"/>
      <c r="AK24" s="68"/>
      <c r="AL24" s="68"/>
      <c r="AM24" s="68"/>
      <c r="AN24" s="68"/>
      <c r="AO24" s="68"/>
      <c r="AP24" s="68"/>
      <c r="BA24">
        <v>2</v>
      </c>
      <c r="BB24">
        <v>2</v>
      </c>
      <c r="BI24">
        <v>3</v>
      </c>
      <c r="BJ24">
        <v>3</v>
      </c>
      <c r="BO24">
        <v>3</v>
      </c>
      <c r="BP24">
        <v>3</v>
      </c>
      <c r="BQ24">
        <v>2</v>
      </c>
      <c r="BR24">
        <v>3</v>
      </c>
    </row>
    <row r="25" spans="1:72" x14ac:dyDescent="0.25">
      <c r="A25" s="79" t="s">
        <v>111</v>
      </c>
      <c r="B25" s="79">
        <v>1</v>
      </c>
      <c r="C25" s="68">
        <v>0</v>
      </c>
      <c r="D25" s="79">
        <v>6</v>
      </c>
      <c r="E25" s="68">
        <f t="shared" si="0"/>
        <v>26</v>
      </c>
      <c r="F25" s="68">
        <f t="shared" si="1"/>
        <v>2.4</v>
      </c>
      <c r="AM25" s="68"/>
      <c r="AN25" s="68"/>
      <c r="AO25" s="68"/>
      <c r="AP25" s="68"/>
      <c r="AS25" s="68"/>
      <c r="AT25" s="68"/>
      <c r="AU25" s="68"/>
      <c r="AV25" s="68"/>
      <c r="BC25">
        <v>3</v>
      </c>
      <c r="BD25">
        <v>3</v>
      </c>
      <c r="BE25">
        <v>1</v>
      </c>
      <c r="BF25" t="s">
        <v>90</v>
      </c>
      <c r="BG25">
        <v>2</v>
      </c>
      <c r="BH25">
        <v>2</v>
      </c>
      <c r="BI25">
        <v>3</v>
      </c>
      <c r="BJ25">
        <v>1</v>
      </c>
      <c r="BK25">
        <v>3</v>
      </c>
      <c r="BL25">
        <v>3</v>
      </c>
      <c r="BQ25">
        <v>3</v>
      </c>
      <c r="BR25">
        <v>2</v>
      </c>
    </row>
    <row r="26" spans="1:72" x14ac:dyDescent="0.25">
      <c r="A26" s="79" t="s">
        <v>112</v>
      </c>
      <c r="B26" s="79">
        <v>1</v>
      </c>
      <c r="C26" s="68">
        <v>0</v>
      </c>
      <c r="D26" s="79">
        <v>5</v>
      </c>
      <c r="E26" s="68">
        <f t="shared" si="0"/>
        <v>16</v>
      </c>
      <c r="F26" s="68">
        <f t="shared" si="1"/>
        <v>1.8</v>
      </c>
      <c r="AM26">
        <v>3</v>
      </c>
      <c r="AN26">
        <v>3</v>
      </c>
      <c r="AO26">
        <v>1</v>
      </c>
      <c r="AP26" t="s">
        <v>90</v>
      </c>
      <c r="AS26">
        <v>3</v>
      </c>
      <c r="AT26">
        <v>3</v>
      </c>
      <c r="AU26" s="120">
        <v>1</v>
      </c>
      <c r="AV26" s="121">
        <v>0</v>
      </c>
      <c r="BC26">
        <v>1</v>
      </c>
      <c r="BD26">
        <v>1</v>
      </c>
    </row>
    <row r="27" spans="1:72" x14ac:dyDescent="0.25">
      <c r="A27" s="79" t="s">
        <v>113</v>
      </c>
      <c r="B27" s="79">
        <v>2</v>
      </c>
      <c r="C27" s="68">
        <v>0</v>
      </c>
      <c r="D27" s="79">
        <v>15</v>
      </c>
      <c r="E27" s="68">
        <f t="shared" si="0"/>
        <v>63</v>
      </c>
      <c r="F27" s="68">
        <f t="shared" si="1"/>
        <v>2.2999999999999998</v>
      </c>
      <c r="I27" s="79">
        <v>2</v>
      </c>
      <c r="J27" s="80" t="s">
        <v>90</v>
      </c>
      <c r="M27" s="79">
        <v>3</v>
      </c>
      <c r="N27" s="80">
        <v>1</v>
      </c>
      <c r="O27" s="79">
        <v>3</v>
      </c>
      <c r="P27" s="80">
        <v>3</v>
      </c>
      <c r="Q27" s="79">
        <v>2</v>
      </c>
      <c r="R27" s="80" t="s">
        <v>90</v>
      </c>
      <c r="W27" s="79">
        <v>2</v>
      </c>
      <c r="X27" s="80">
        <v>2</v>
      </c>
      <c r="AA27" s="79">
        <v>3</v>
      </c>
      <c r="AB27" s="80">
        <v>2</v>
      </c>
      <c r="AC27" s="79">
        <v>2</v>
      </c>
      <c r="AD27" s="80">
        <v>3</v>
      </c>
      <c r="AM27" s="68"/>
      <c r="AN27" s="68"/>
      <c r="AO27">
        <v>0</v>
      </c>
      <c r="AP27">
        <v>1</v>
      </c>
      <c r="AS27" s="68"/>
      <c r="AT27" s="68"/>
      <c r="AU27">
        <v>3</v>
      </c>
      <c r="AV27">
        <v>1</v>
      </c>
      <c r="AY27">
        <v>3</v>
      </c>
      <c r="AZ27">
        <v>3</v>
      </c>
      <c r="BA27">
        <v>2</v>
      </c>
      <c r="BB27">
        <v>2</v>
      </c>
      <c r="BG27">
        <v>2</v>
      </c>
      <c r="BH27">
        <v>3</v>
      </c>
      <c r="BK27">
        <v>3</v>
      </c>
      <c r="BL27">
        <v>2</v>
      </c>
      <c r="BO27">
        <v>2</v>
      </c>
      <c r="BP27">
        <v>3</v>
      </c>
      <c r="BS27">
        <v>2</v>
      </c>
      <c r="BT27">
        <v>3</v>
      </c>
    </row>
    <row r="28" spans="1:72" x14ac:dyDescent="0.25">
      <c r="A28" s="79" t="s">
        <v>114</v>
      </c>
      <c r="B28" s="79">
        <v>10</v>
      </c>
      <c r="C28" s="68">
        <v>1</v>
      </c>
      <c r="D28" s="79">
        <v>16</v>
      </c>
      <c r="E28" s="68">
        <f t="shared" si="0"/>
        <v>61</v>
      </c>
      <c r="F28" s="68">
        <f t="shared" si="1"/>
        <v>2.8</v>
      </c>
      <c r="G28" s="79">
        <v>3</v>
      </c>
      <c r="H28" s="80">
        <v>1</v>
      </c>
      <c r="I28" s="79">
        <v>3</v>
      </c>
      <c r="J28" s="80">
        <v>3</v>
      </c>
      <c r="O28" s="79">
        <v>3</v>
      </c>
      <c r="P28" s="80" t="s">
        <v>90</v>
      </c>
      <c r="S28" s="79">
        <v>2</v>
      </c>
      <c r="T28" s="80" t="s">
        <v>90</v>
      </c>
      <c r="W28" s="79">
        <v>3</v>
      </c>
      <c r="X28" s="80">
        <v>2</v>
      </c>
      <c r="AA28" s="79">
        <v>3</v>
      </c>
      <c r="AB28" s="80" t="s">
        <v>90</v>
      </c>
      <c r="AE28" s="79">
        <v>3</v>
      </c>
      <c r="AF28" s="80" t="s">
        <v>90</v>
      </c>
      <c r="AI28" s="120" t="s">
        <v>90</v>
      </c>
      <c r="AJ28" s="121" t="s">
        <v>90</v>
      </c>
      <c r="AK28" s="120">
        <v>3</v>
      </c>
      <c r="AL28" s="121">
        <v>3</v>
      </c>
      <c r="AM28" s="68"/>
      <c r="AN28" s="68"/>
      <c r="AO28">
        <v>3</v>
      </c>
      <c r="AP28" t="s">
        <v>90</v>
      </c>
      <c r="AS28">
        <v>3</v>
      </c>
      <c r="AT28">
        <v>2</v>
      </c>
      <c r="BA28">
        <v>3</v>
      </c>
      <c r="BB28" t="s">
        <v>90</v>
      </c>
      <c r="BE28">
        <v>3</v>
      </c>
      <c r="BF28" t="s">
        <v>90</v>
      </c>
      <c r="BG28">
        <v>3</v>
      </c>
      <c r="BH28">
        <v>3</v>
      </c>
      <c r="BK28">
        <v>3</v>
      </c>
      <c r="BL28" t="s">
        <v>90</v>
      </c>
      <c r="BO28">
        <v>3</v>
      </c>
      <c r="BP28">
        <v>3</v>
      </c>
    </row>
    <row r="29" spans="1:72" x14ac:dyDescent="0.25">
      <c r="A29" s="79" t="s">
        <v>115</v>
      </c>
      <c r="B29" s="79">
        <v>5</v>
      </c>
      <c r="C29" s="68">
        <v>1</v>
      </c>
      <c r="D29" s="79">
        <v>4</v>
      </c>
      <c r="E29" s="68">
        <f t="shared" si="0"/>
        <v>5</v>
      </c>
      <c r="F29" s="68">
        <f t="shared" si="1"/>
        <v>1.7</v>
      </c>
      <c r="AM29" s="68"/>
      <c r="AN29" s="68"/>
      <c r="AO29" s="68"/>
      <c r="AP29" s="68"/>
      <c r="AS29" s="68"/>
      <c r="AT29" s="68"/>
      <c r="AU29" s="68"/>
      <c r="AV29" s="68"/>
      <c r="BC29" t="s">
        <v>90</v>
      </c>
      <c r="BD29" t="s">
        <v>90</v>
      </c>
      <c r="BM29">
        <v>2</v>
      </c>
      <c r="BN29" t="s">
        <v>90</v>
      </c>
      <c r="BQ29">
        <v>2</v>
      </c>
      <c r="BR29" t="s">
        <v>90</v>
      </c>
      <c r="BS29">
        <v>1</v>
      </c>
      <c r="BT29" t="s">
        <v>90</v>
      </c>
    </row>
    <row r="30" spans="1:72" x14ac:dyDescent="0.25">
      <c r="A30" s="79" t="s">
        <v>116</v>
      </c>
      <c r="B30" s="79">
        <v>2</v>
      </c>
      <c r="C30" s="68">
        <v>1</v>
      </c>
      <c r="D30" s="79">
        <v>4</v>
      </c>
      <c r="E30" s="68">
        <f t="shared" si="0"/>
        <v>15</v>
      </c>
      <c r="F30" s="68">
        <f t="shared" si="1"/>
        <v>2.5</v>
      </c>
      <c r="AM30" s="120">
        <v>3</v>
      </c>
      <c r="AN30" s="121">
        <v>3</v>
      </c>
      <c r="AO30" s="120">
        <v>3</v>
      </c>
      <c r="AP30" s="121">
        <v>2</v>
      </c>
      <c r="AS30" s="120">
        <v>1</v>
      </c>
      <c r="AT30" s="121">
        <v>3</v>
      </c>
      <c r="BA30" t="s">
        <v>90</v>
      </c>
      <c r="BB30" t="s">
        <v>90</v>
      </c>
    </row>
    <row r="31" spans="1:72" x14ac:dyDescent="0.25">
      <c r="A31" s="79" t="s">
        <v>117</v>
      </c>
      <c r="B31" s="79">
        <v>9</v>
      </c>
      <c r="C31" s="68">
        <v>4</v>
      </c>
      <c r="D31" s="79">
        <v>6</v>
      </c>
      <c r="E31" s="68">
        <f t="shared" si="0"/>
        <v>4</v>
      </c>
      <c r="F31" s="68">
        <f t="shared" si="1"/>
        <v>1.3</v>
      </c>
      <c r="BE31">
        <v>1</v>
      </c>
      <c r="BF31">
        <v>3</v>
      </c>
      <c r="BG31" t="s">
        <v>90</v>
      </c>
      <c r="BH31" t="s">
        <v>90</v>
      </c>
      <c r="BK31">
        <v>0</v>
      </c>
      <c r="BL31" t="s">
        <v>90</v>
      </c>
      <c r="BM31" t="s">
        <v>90</v>
      </c>
      <c r="BN31" t="s">
        <v>90</v>
      </c>
      <c r="BO31" t="s">
        <v>90</v>
      </c>
      <c r="BP31" t="s">
        <v>90</v>
      </c>
      <c r="BQ31" t="s">
        <v>90</v>
      </c>
      <c r="BR31" t="s">
        <v>90</v>
      </c>
    </row>
    <row r="32" spans="1:72" x14ac:dyDescent="0.25">
      <c r="A32" s="79" t="s">
        <v>118</v>
      </c>
      <c r="B32" s="79">
        <v>0</v>
      </c>
      <c r="C32" s="68">
        <v>0</v>
      </c>
      <c r="D32" s="79">
        <v>0</v>
      </c>
      <c r="E32" s="68">
        <f t="shared" si="0"/>
        <v>0</v>
      </c>
      <c r="F32" s="68" t="e">
        <f t="shared" si="1"/>
        <v>#DIV/0!</v>
      </c>
    </row>
    <row r="33" spans="1:72" x14ac:dyDescent="0.25">
      <c r="A33" s="79" t="s">
        <v>119</v>
      </c>
      <c r="B33" s="79">
        <v>2</v>
      </c>
      <c r="C33" s="68">
        <v>0</v>
      </c>
      <c r="D33" s="79">
        <v>7</v>
      </c>
      <c r="E33" s="68">
        <f t="shared" si="0"/>
        <v>27</v>
      </c>
      <c r="F33" s="68">
        <f t="shared" si="1"/>
        <v>2.2999999999999998</v>
      </c>
      <c r="BA33">
        <v>2</v>
      </c>
      <c r="BB33">
        <v>2</v>
      </c>
      <c r="BE33">
        <v>3</v>
      </c>
      <c r="BF33">
        <v>2</v>
      </c>
      <c r="BI33">
        <v>2</v>
      </c>
      <c r="BJ33" t="s">
        <v>90</v>
      </c>
      <c r="BK33">
        <v>1</v>
      </c>
      <c r="BL33" t="s">
        <v>90</v>
      </c>
      <c r="BM33">
        <v>2</v>
      </c>
      <c r="BN33">
        <v>2</v>
      </c>
      <c r="BO33">
        <v>2</v>
      </c>
      <c r="BP33">
        <v>3</v>
      </c>
      <c r="BS33">
        <v>3</v>
      </c>
      <c r="BT33">
        <v>3</v>
      </c>
    </row>
    <row r="34" spans="1:72" x14ac:dyDescent="0.25">
      <c r="A34" s="79" t="s">
        <v>120</v>
      </c>
      <c r="B34" s="79">
        <v>2</v>
      </c>
      <c r="C34" s="68">
        <v>1</v>
      </c>
      <c r="D34" s="79">
        <v>16</v>
      </c>
      <c r="E34" s="68">
        <f t="shared" ref="E34:E51" si="2">SUM(G34:BT34)</f>
        <v>82</v>
      </c>
      <c r="F34" s="68">
        <f t="shared" ref="F34:F51" si="3">ROUND(AVERAGE(G34:BT34),1)</f>
        <v>2.7</v>
      </c>
      <c r="G34" s="79">
        <v>3</v>
      </c>
      <c r="H34" s="80">
        <v>3</v>
      </c>
      <c r="I34" s="79">
        <v>2</v>
      </c>
      <c r="J34" s="80">
        <v>3</v>
      </c>
      <c r="K34" s="79">
        <v>3</v>
      </c>
      <c r="L34" s="80">
        <v>3</v>
      </c>
      <c r="M34" s="79">
        <v>2</v>
      </c>
      <c r="N34" s="80">
        <v>2</v>
      </c>
      <c r="O34" s="79">
        <v>3</v>
      </c>
      <c r="P34" s="80">
        <v>3</v>
      </c>
      <c r="Q34" s="79">
        <v>3</v>
      </c>
      <c r="R34" s="80">
        <v>3</v>
      </c>
      <c r="S34" s="79">
        <v>3</v>
      </c>
      <c r="T34" s="80">
        <v>3</v>
      </c>
      <c r="U34" s="79">
        <v>3</v>
      </c>
      <c r="V34" s="80">
        <v>3</v>
      </c>
      <c r="AE34" s="79">
        <v>3</v>
      </c>
      <c r="AF34" s="80">
        <v>1</v>
      </c>
      <c r="AI34" s="120" t="s">
        <v>90</v>
      </c>
      <c r="AJ34" s="121" t="s">
        <v>90</v>
      </c>
      <c r="AK34" s="120">
        <v>3</v>
      </c>
      <c r="AL34" s="121">
        <v>3</v>
      </c>
      <c r="BA34">
        <v>3</v>
      </c>
      <c r="BB34">
        <v>3</v>
      </c>
      <c r="BK34">
        <v>3</v>
      </c>
      <c r="BL34">
        <v>3</v>
      </c>
      <c r="BM34">
        <v>3</v>
      </c>
      <c r="BN34">
        <v>3</v>
      </c>
      <c r="BQ34">
        <v>2</v>
      </c>
      <c r="BR34">
        <v>3</v>
      </c>
      <c r="BS34">
        <v>2</v>
      </c>
      <c r="BT34">
        <v>2</v>
      </c>
    </row>
    <row r="35" spans="1:72" x14ac:dyDescent="0.25">
      <c r="A35" s="79" t="s">
        <v>121</v>
      </c>
      <c r="B35" s="79">
        <v>2</v>
      </c>
      <c r="C35" s="68">
        <v>1</v>
      </c>
      <c r="D35" s="79">
        <v>11</v>
      </c>
      <c r="E35" s="68">
        <f t="shared" si="2"/>
        <v>65</v>
      </c>
      <c r="F35" s="68">
        <f t="shared" si="3"/>
        <v>3</v>
      </c>
      <c r="I35" s="79">
        <v>3</v>
      </c>
      <c r="J35" s="80">
        <v>3</v>
      </c>
      <c r="M35" s="79">
        <v>3</v>
      </c>
      <c r="N35" s="80">
        <v>3</v>
      </c>
      <c r="O35" s="79">
        <v>3</v>
      </c>
      <c r="P35" s="80">
        <v>3</v>
      </c>
      <c r="Q35" s="79">
        <v>3</v>
      </c>
      <c r="R35" s="80">
        <v>3</v>
      </c>
      <c r="W35" s="79">
        <v>3</v>
      </c>
      <c r="X35" s="80">
        <v>3</v>
      </c>
      <c r="Y35" s="79">
        <v>3</v>
      </c>
      <c r="Z35" s="80">
        <v>3</v>
      </c>
      <c r="AE35" s="79">
        <v>3</v>
      </c>
      <c r="AF35" s="80">
        <v>3</v>
      </c>
      <c r="AI35" s="120" t="s">
        <v>90</v>
      </c>
      <c r="AJ35" s="121" t="s">
        <v>90</v>
      </c>
      <c r="AK35" s="120">
        <v>3</v>
      </c>
      <c r="AL35" s="121">
        <v>3</v>
      </c>
      <c r="BA35">
        <v>3</v>
      </c>
      <c r="BB35">
        <v>3</v>
      </c>
      <c r="BQ35">
        <v>2</v>
      </c>
      <c r="BR35">
        <v>3</v>
      </c>
      <c r="BS35">
        <v>3</v>
      </c>
      <c r="BT35">
        <v>3</v>
      </c>
    </row>
    <row r="36" spans="1:72" x14ac:dyDescent="0.25">
      <c r="A36" s="79" t="s">
        <v>122</v>
      </c>
      <c r="B36" s="79">
        <v>1</v>
      </c>
      <c r="C36" s="68">
        <v>0</v>
      </c>
      <c r="D36" s="79">
        <v>3</v>
      </c>
      <c r="E36" s="68">
        <f t="shared" si="2"/>
        <v>10</v>
      </c>
      <c r="F36" s="68">
        <f t="shared" si="3"/>
        <v>2</v>
      </c>
      <c r="Y36" s="79">
        <v>2</v>
      </c>
      <c r="Z36" s="80" t="s">
        <v>90</v>
      </c>
      <c r="AC36" s="79">
        <v>2</v>
      </c>
      <c r="AD36" s="80">
        <v>2</v>
      </c>
      <c r="AE36" s="79">
        <v>1</v>
      </c>
      <c r="AF36" s="80">
        <v>3</v>
      </c>
    </row>
    <row r="37" spans="1:72" x14ac:dyDescent="0.25">
      <c r="A37" s="79" t="s">
        <v>123</v>
      </c>
      <c r="B37" s="79">
        <v>7</v>
      </c>
      <c r="C37" s="68">
        <v>3</v>
      </c>
      <c r="D37" s="79">
        <v>13</v>
      </c>
      <c r="E37" s="68">
        <f t="shared" si="2"/>
        <v>51</v>
      </c>
      <c r="F37" s="68">
        <f t="shared" si="3"/>
        <v>2.7</v>
      </c>
      <c r="S37" s="79">
        <v>3</v>
      </c>
      <c r="T37" s="80">
        <v>3</v>
      </c>
      <c r="U37" s="79" t="s">
        <v>90</v>
      </c>
      <c r="V37" s="80" t="s">
        <v>90</v>
      </c>
      <c r="W37" s="79">
        <v>3</v>
      </c>
      <c r="X37" s="80">
        <v>3</v>
      </c>
      <c r="Y37" s="79">
        <v>3</v>
      </c>
      <c r="Z37" s="80">
        <v>3</v>
      </c>
      <c r="AC37" s="79">
        <v>3</v>
      </c>
      <c r="AD37" s="80">
        <v>3</v>
      </c>
      <c r="AE37" s="79">
        <v>2</v>
      </c>
      <c r="AF37" s="80">
        <v>3</v>
      </c>
      <c r="AI37" s="120" t="s">
        <v>90</v>
      </c>
      <c r="AJ37" s="121" t="s">
        <v>90</v>
      </c>
      <c r="AK37" s="120">
        <v>1</v>
      </c>
      <c r="AL37" s="121" t="s">
        <v>90</v>
      </c>
      <c r="BC37">
        <v>3</v>
      </c>
      <c r="BD37">
        <v>2</v>
      </c>
      <c r="BI37" t="s">
        <v>90</v>
      </c>
      <c r="BJ37" t="s">
        <v>90</v>
      </c>
      <c r="BM37">
        <v>3</v>
      </c>
      <c r="BN37">
        <v>3</v>
      </c>
      <c r="BO37">
        <v>3</v>
      </c>
      <c r="BP37">
        <v>1</v>
      </c>
      <c r="BQ37">
        <v>3</v>
      </c>
      <c r="BR37">
        <v>3</v>
      </c>
    </row>
    <row r="38" spans="1:72" x14ac:dyDescent="0.25">
      <c r="A38" s="79" t="s">
        <v>124</v>
      </c>
      <c r="B38" s="79">
        <v>2</v>
      </c>
      <c r="C38" s="68">
        <v>1</v>
      </c>
      <c r="D38" s="79">
        <v>12</v>
      </c>
      <c r="E38" s="68">
        <f t="shared" si="2"/>
        <v>43</v>
      </c>
      <c r="F38" s="68">
        <f t="shared" si="3"/>
        <v>2</v>
      </c>
      <c r="I38" s="79" t="s">
        <v>90</v>
      </c>
      <c r="J38" s="80" t="s">
        <v>90</v>
      </c>
      <c r="K38" s="79">
        <v>3</v>
      </c>
      <c r="L38" s="80">
        <v>3</v>
      </c>
      <c r="M38" s="79">
        <v>1</v>
      </c>
      <c r="N38" s="80">
        <v>1</v>
      </c>
      <c r="O38" s="79">
        <v>0</v>
      </c>
      <c r="P38" s="80" t="s">
        <v>90</v>
      </c>
      <c r="Q38" s="79">
        <v>2</v>
      </c>
      <c r="R38" s="80" t="s">
        <v>90</v>
      </c>
      <c r="W38" s="79">
        <v>3</v>
      </c>
      <c r="X38" s="80">
        <v>3</v>
      </c>
      <c r="Y38" s="79">
        <v>3</v>
      </c>
      <c r="Z38" s="80">
        <v>2</v>
      </c>
      <c r="AA38" s="79">
        <v>3</v>
      </c>
      <c r="AB38" s="80">
        <v>1</v>
      </c>
      <c r="AC38" s="79">
        <v>1</v>
      </c>
      <c r="AD38" s="80">
        <v>1</v>
      </c>
      <c r="AE38" s="79">
        <v>3</v>
      </c>
      <c r="AF38" s="80">
        <v>2</v>
      </c>
      <c r="AM38" s="120">
        <v>3</v>
      </c>
      <c r="AN38" s="121">
        <v>2</v>
      </c>
      <c r="BO38">
        <v>1</v>
      </c>
      <c r="BP38">
        <v>1</v>
      </c>
      <c r="BQ38">
        <v>3</v>
      </c>
      <c r="BR38">
        <v>1</v>
      </c>
    </row>
    <row r="39" spans="1:72" x14ac:dyDescent="0.25">
      <c r="A39" s="79" t="s">
        <v>125</v>
      </c>
      <c r="B39" s="79">
        <v>2</v>
      </c>
      <c r="C39" s="68">
        <v>1</v>
      </c>
      <c r="D39" s="79">
        <v>8</v>
      </c>
      <c r="E39" s="68">
        <f t="shared" si="2"/>
        <v>39</v>
      </c>
      <c r="F39" s="68">
        <f t="shared" si="3"/>
        <v>2.8</v>
      </c>
      <c r="G39" s="79">
        <v>3</v>
      </c>
      <c r="H39" s="80">
        <v>3</v>
      </c>
      <c r="I39" s="79">
        <v>2</v>
      </c>
      <c r="J39" s="80">
        <v>3</v>
      </c>
      <c r="O39" s="79">
        <v>3</v>
      </c>
      <c r="P39" s="80">
        <v>3</v>
      </c>
      <c r="Q39" s="79">
        <v>3</v>
      </c>
      <c r="R39" s="80">
        <v>3</v>
      </c>
      <c r="AU39" s="120">
        <v>3</v>
      </c>
      <c r="AV39" s="121">
        <v>3</v>
      </c>
      <c r="BA39">
        <v>3</v>
      </c>
      <c r="BB39">
        <v>2</v>
      </c>
      <c r="BE39">
        <v>3</v>
      </c>
      <c r="BF39">
        <v>2</v>
      </c>
      <c r="BG39" t="s">
        <v>90</v>
      </c>
      <c r="BH39" t="s">
        <v>90</v>
      </c>
    </row>
    <row r="40" spans="1:72" x14ac:dyDescent="0.25">
      <c r="A40" s="79" t="s">
        <v>126</v>
      </c>
      <c r="B40" s="79">
        <v>2</v>
      </c>
      <c r="C40" s="68">
        <v>1</v>
      </c>
      <c r="D40" s="79">
        <v>15</v>
      </c>
      <c r="E40" s="68">
        <f t="shared" si="2"/>
        <v>62</v>
      </c>
      <c r="F40" s="68">
        <f t="shared" si="3"/>
        <v>2.1</v>
      </c>
      <c r="G40" s="79">
        <v>2</v>
      </c>
      <c r="H40" s="80">
        <v>3</v>
      </c>
      <c r="I40" s="79">
        <v>1</v>
      </c>
      <c r="J40" s="80">
        <v>1</v>
      </c>
      <c r="K40" s="79">
        <v>3</v>
      </c>
      <c r="L40" s="80">
        <v>2</v>
      </c>
      <c r="M40" s="79">
        <v>1</v>
      </c>
      <c r="N40" s="80">
        <v>2</v>
      </c>
      <c r="O40" s="79">
        <v>1</v>
      </c>
      <c r="P40" s="80">
        <v>1</v>
      </c>
      <c r="Q40" s="79">
        <v>1</v>
      </c>
      <c r="R40" s="80">
        <v>3</v>
      </c>
      <c r="U40" s="79">
        <v>3</v>
      </c>
      <c r="V40" s="80">
        <v>2</v>
      </c>
      <c r="Y40" s="79">
        <v>2</v>
      </c>
      <c r="Z40" s="80">
        <v>2</v>
      </c>
      <c r="AA40" s="79">
        <v>3</v>
      </c>
      <c r="AB40" s="80">
        <v>3</v>
      </c>
      <c r="AI40" s="120" t="s">
        <v>90</v>
      </c>
      <c r="AJ40" s="121" t="s">
        <v>90</v>
      </c>
      <c r="AK40" s="120">
        <v>2</v>
      </c>
      <c r="AL40" s="121">
        <v>3</v>
      </c>
      <c r="AM40" s="120">
        <v>2</v>
      </c>
      <c r="AN40" s="121">
        <v>3</v>
      </c>
      <c r="AS40" s="120">
        <v>3</v>
      </c>
      <c r="AT40" s="121">
        <v>3</v>
      </c>
      <c r="BM40">
        <v>3</v>
      </c>
      <c r="BN40">
        <v>1</v>
      </c>
      <c r="BO40">
        <v>1</v>
      </c>
      <c r="BP40">
        <v>1</v>
      </c>
      <c r="BS40">
        <v>2</v>
      </c>
      <c r="BT40">
        <v>2</v>
      </c>
    </row>
    <row r="41" spans="1:72" x14ac:dyDescent="0.25">
      <c r="A41" s="79" t="s">
        <v>127</v>
      </c>
      <c r="B41" s="79">
        <v>9</v>
      </c>
      <c r="C41" s="68">
        <v>1</v>
      </c>
      <c r="D41" s="79">
        <v>8</v>
      </c>
      <c r="E41" s="68">
        <f t="shared" si="2"/>
        <v>15</v>
      </c>
      <c r="F41" s="68">
        <f t="shared" si="3"/>
        <v>2.1</v>
      </c>
      <c r="BC41" t="s">
        <v>90</v>
      </c>
      <c r="BD41" t="s">
        <v>90</v>
      </c>
      <c r="BG41">
        <v>2</v>
      </c>
      <c r="BH41" t="s">
        <v>90</v>
      </c>
      <c r="BI41">
        <v>1</v>
      </c>
      <c r="BJ41" t="s">
        <v>90</v>
      </c>
      <c r="BK41">
        <v>2</v>
      </c>
      <c r="BL41" t="s">
        <v>90</v>
      </c>
      <c r="BM41">
        <v>3</v>
      </c>
      <c r="BN41" t="s">
        <v>90</v>
      </c>
      <c r="BO41">
        <v>2</v>
      </c>
      <c r="BP41" t="s">
        <v>90</v>
      </c>
      <c r="BQ41">
        <v>2</v>
      </c>
      <c r="BR41" t="s">
        <v>90</v>
      </c>
      <c r="BS41">
        <v>3</v>
      </c>
      <c r="BT41" t="s">
        <v>90</v>
      </c>
    </row>
    <row r="42" spans="1:72" x14ac:dyDescent="0.25">
      <c r="A42" s="79" t="s">
        <v>128</v>
      </c>
      <c r="B42" s="79">
        <v>0</v>
      </c>
      <c r="C42" s="68">
        <v>0</v>
      </c>
      <c r="D42" s="79">
        <v>1</v>
      </c>
      <c r="E42" s="68">
        <f t="shared" si="2"/>
        <v>5</v>
      </c>
      <c r="F42" s="68">
        <f t="shared" si="3"/>
        <v>2.5</v>
      </c>
      <c r="AS42" s="120">
        <v>3</v>
      </c>
      <c r="AT42" s="121">
        <v>2</v>
      </c>
    </row>
    <row r="43" spans="1:72" x14ac:dyDescent="0.25">
      <c r="A43" s="79" t="s">
        <v>129</v>
      </c>
      <c r="B43" s="79">
        <v>8</v>
      </c>
      <c r="C43" s="68">
        <v>4</v>
      </c>
      <c r="D43" s="79">
        <v>24</v>
      </c>
      <c r="E43" s="68">
        <f t="shared" si="2"/>
        <v>107</v>
      </c>
      <c r="F43" s="68">
        <f t="shared" si="3"/>
        <v>2.7</v>
      </c>
      <c r="G43" s="79">
        <v>2</v>
      </c>
      <c r="H43" s="80">
        <v>3</v>
      </c>
      <c r="I43" s="79">
        <v>2</v>
      </c>
      <c r="J43" s="80">
        <v>3</v>
      </c>
      <c r="K43" s="79" t="s">
        <v>90</v>
      </c>
      <c r="L43" s="80" t="s">
        <v>90</v>
      </c>
      <c r="O43" s="79">
        <v>3</v>
      </c>
      <c r="P43" s="80">
        <v>2</v>
      </c>
      <c r="Q43" s="79">
        <v>3</v>
      </c>
      <c r="R43" s="80">
        <v>3</v>
      </c>
      <c r="S43" s="79">
        <v>2</v>
      </c>
      <c r="T43" s="80">
        <v>2</v>
      </c>
      <c r="W43" s="79">
        <v>3</v>
      </c>
      <c r="X43" s="80">
        <v>3</v>
      </c>
      <c r="Y43" s="79">
        <v>2</v>
      </c>
      <c r="Z43" s="80">
        <v>3</v>
      </c>
      <c r="AA43" s="79">
        <v>3</v>
      </c>
      <c r="AB43" s="80">
        <v>2</v>
      </c>
      <c r="AC43" s="79">
        <v>2</v>
      </c>
      <c r="AD43" s="80">
        <v>3</v>
      </c>
      <c r="AI43" s="120" t="s">
        <v>90</v>
      </c>
      <c r="AJ43" s="121" t="s">
        <v>90</v>
      </c>
      <c r="AK43" s="120">
        <v>2</v>
      </c>
      <c r="AL43" s="121">
        <v>3</v>
      </c>
      <c r="AM43" s="120">
        <v>2</v>
      </c>
      <c r="AN43" s="121">
        <v>3</v>
      </c>
      <c r="AS43" s="120">
        <v>3</v>
      </c>
      <c r="AT43" s="121">
        <v>3</v>
      </c>
      <c r="AU43" s="120">
        <v>3</v>
      </c>
      <c r="AV43" s="121">
        <v>3</v>
      </c>
      <c r="BA43">
        <v>2</v>
      </c>
      <c r="BB43">
        <v>3</v>
      </c>
      <c r="BC43">
        <v>3</v>
      </c>
      <c r="BD43">
        <v>3</v>
      </c>
      <c r="BE43">
        <v>3</v>
      </c>
      <c r="BF43">
        <v>3</v>
      </c>
      <c r="BG43">
        <v>2</v>
      </c>
      <c r="BH43">
        <v>3</v>
      </c>
      <c r="BK43">
        <v>3</v>
      </c>
      <c r="BL43">
        <v>2</v>
      </c>
      <c r="BM43">
        <v>3</v>
      </c>
      <c r="BN43">
        <v>3</v>
      </c>
      <c r="BO43">
        <v>3</v>
      </c>
      <c r="BP43">
        <v>3</v>
      </c>
      <c r="BQ43" t="s">
        <v>90</v>
      </c>
      <c r="BR43" t="s">
        <v>90</v>
      </c>
      <c r="BS43" t="s">
        <v>90</v>
      </c>
      <c r="BT43" t="s">
        <v>90</v>
      </c>
    </row>
    <row r="44" spans="1:72" x14ac:dyDescent="0.25">
      <c r="A44" s="79" t="s">
        <v>130</v>
      </c>
      <c r="B44" s="79">
        <v>7</v>
      </c>
      <c r="C44" s="68">
        <v>2</v>
      </c>
      <c r="D44" s="79">
        <v>15</v>
      </c>
      <c r="E44" s="68">
        <f t="shared" si="2"/>
        <v>56</v>
      </c>
      <c r="F44" s="68">
        <f t="shared" si="3"/>
        <v>2.4</v>
      </c>
      <c r="U44" s="79">
        <v>3</v>
      </c>
      <c r="V44" s="80">
        <v>2</v>
      </c>
      <c r="W44" s="79">
        <v>2</v>
      </c>
      <c r="X44" s="80" t="s">
        <v>90</v>
      </c>
      <c r="Y44" s="79">
        <v>2</v>
      </c>
      <c r="Z44" s="80">
        <v>2</v>
      </c>
      <c r="AA44" s="79">
        <v>3</v>
      </c>
      <c r="AB44" s="80">
        <v>3</v>
      </c>
      <c r="AC44" s="79">
        <v>2</v>
      </c>
      <c r="AD44" s="80">
        <v>2</v>
      </c>
      <c r="AE44" s="79">
        <v>3</v>
      </c>
      <c r="AF44" s="80">
        <v>2</v>
      </c>
      <c r="AI44" s="120" t="s">
        <v>90</v>
      </c>
      <c r="AJ44" s="121" t="s">
        <v>90</v>
      </c>
      <c r="AK44" s="120">
        <v>2</v>
      </c>
      <c r="AL44" s="121" t="s">
        <v>90</v>
      </c>
      <c r="AM44" s="120">
        <v>3</v>
      </c>
      <c r="AN44" s="121">
        <v>3</v>
      </c>
      <c r="AO44" s="120">
        <v>2</v>
      </c>
      <c r="AP44" s="121">
        <v>3</v>
      </c>
      <c r="AY44">
        <v>2</v>
      </c>
      <c r="AZ44">
        <v>2</v>
      </c>
      <c r="BA44">
        <v>2</v>
      </c>
      <c r="BB44">
        <v>3</v>
      </c>
      <c r="BC44">
        <v>3</v>
      </c>
      <c r="BD44">
        <v>3</v>
      </c>
      <c r="BE44">
        <v>2</v>
      </c>
      <c r="BF44" t="s">
        <v>90</v>
      </c>
      <c r="BQ44" t="s">
        <v>90</v>
      </c>
      <c r="BR44" t="s">
        <v>90</v>
      </c>
    </row>
    <row r="45" spans="1:72" x14ac:dyDescent="0.25">
      <c r="A45" s="79" t="s">
        <v>131</v>
      </c>
      <c r="B45" s="79">
        <v>0</v>
      </c>
      <c r="C45" s="68">
        <v>0</v>
      </c>
      <c r="D45" s="79">
        <v>0</v>
      </c>
      <c r="E45" s="68">
        <f t="shared" si="2"/>
        <v>0</v>
      </c>
      <c r="F45" s="68" t="e">
        <f t="shared" si="3"/>
        <v>#DIV/0!</v>
      </c>
      <c r="AI45" s="120"/>
      <c r="AJ45" s="121"/>
      <c r="AK45" s="120"/>
      <c r="AL45" s="121"/>
      <c r="AM45" s="120"/>
      <c r="AN45" s="121"/>
      <c r="AO45" s="120"/>
      <c r="AP45" s="121"/>
    </row>
    <row r="46" spans="1:72" x14ac:dyDescent="0.25">
      <c r="A46" s="79" t="s">
        <v>132</v>
      </c>
      <c r="B46" s="79">
        <v>2</v>
      </c>
      <c r="C46" s="68">
        <v>1</v>
      </c>
      <c r="D46" s="79">
        <v>1</v>
      </c>
      <c r="E46" s="68">
        <f t="shared" si="2"/>
        <v>0</v>
      </c>
      <c r="F46" s="68" t="e">
        <f t="shared" si="3"/>
        <v>#DIV/0!</v>
      </c>
      <c r="AI46" s="120"/>
      <c r="AJ46" s="121"/>
      <c r="AK46" s="120"/>
      <c r="AL46" s="121"/>
      <c r="AM46" s="120"/>
      <c r="AN46" s="121"/>
      <c r="AO46" s="120"/>
      <c r="AP46" s="121"/>
      <c r="BS46" t="s">
        <v>90</v>
      </c>
      <c r="BT46" t="s">
        <v>90</v>
      </c>
    </row>
    <row r="47" spans="1:72" x14ac:dyDescent="0.25">
      <c r="A47" s="79" t="s">
        <v>133</v>
      </c>
      <c r="B47" s="79">
        <v>0</v>
      </c>
      <c r="C47" s="68">
        <v>0</v>
      </c>
      <c r="D47" s="79">
        <v>0</v>
      </c>
      <c r="E47" s="68">
        <f t="shared" si="2"/>
        <v>0</v>
      </c>
      <c r="F47" s="68" t="e">
        <f t="shared" si="3"/>
        <v>#DIV/0!</v>
      </c>
      <c r="AI47" s="120"/>
      <c r="AJ47" s="121"/>
      <c r="AK47" s="120"/>
      <c r="AL47" s="121"/>
      <c r="AM47" s="120"/>
      <c r="AN47" s="121"/>
      <c r="AO47" s="120"/>
      <c r="AP47" s="121"/>
    </row>
    <row r="48" spans="1:72" x14ac:dyDescent="0.25">
      <c r="A48" s="79" t="s">
        <v>134</v>
      </c>
      <c r="B48" s="79">
        <v>0</v>
      </c>
      <c r="C48" s="68">
        <v>0</v>
      </c>
      <c r="D48" s="79">
        <v>0</v>
      </c>
      <c r="E48" s="68">
        <f t="shared" si="2"/>
        <v>0</v>
      </c>
      <c r="F48" s="68" t="e">
        <f t="shared" si="3"/>
        <v>#DIV/0!</v>
      </c>
      <c r="AI48" s="120"/>
      <c r="AJ48" s="121"/>
      <c r="AK48" s="120"/>
      <c r="AL48" s="121"/>
      <c r="AM48" s="120"/>
      <c r="AN48" s="121"/>
      <c r="AO48" s="120"/>
      <c r="AP48" s="121"/>
    </row>
    <row r="49" spans="1:42" x14ac:dyDescent="0.25">
      <c r="A49" s="79" t="s">
        <v>135</v>
      </c>
      <c r="B49" s="79">
        <v>0</v>
      </c>
      <c r="C49" s="68">
        <v>0</v>
      </c>
      <c r="D49" s="79">
        <v>0</v>
      </c>
      <c r="E49" s="68">
        <f t="shared" si="2"/>
        <v>0</v>
      </c>
      <c r="F49" s="68" t="e">
        <f t="shared" si="3"/>
        <v>#DIV/0!</v>
      </c>
      <c r="AI49" s="120"/>
      <c r="AJ49" s="121"/>
      <c r="AK49" s="120"/>
      <c r="AL49" s="121"/>
      <c r="AM49" s="120"/>
      <c r="AN49" s="121"/>
      <c r="AO49" s="120"/>
      <c r="AP49" s="121"/>
    </row>
    <row r="50" spans="1:42" x14ac:dyDescent="0.25">
      <c r="A50" s="79" t="s">
        <v>136</v>
      </c>
      <c r="B50" s="79">
        <v>0</v>
      </c>
      <c r="C50" s="68">
        <v>0</v>
      </c>
      <c r="D50" s="79">
        <v>0</v>
      </c>
      <c r="E50" s="68">
        <f t="shared" si="2"/>
        <v>0</v>
      </c>
      <c r="F50" s="68" t="e">
        <f t="shared" si="3"/>
        <v>#DIV/0!</v>
      </c>
      <c r="AI50" s="120"/>
      <c r="AJ50" s="121"/>
      <c r="AK50" s="120"/>
      <c r="AL50" s="121"/>
      <c r="AM50" s="120"/>
      <c r="AN50" s="121"/>
      <c r="AO50" s="120"/>
      <c r="AP50" s="121"/>
    </row>
    <row r="51" spans="1:42" x14ac:dyDescent="0.25">
      <c r="A51" s="79" t="s">
        <v>137</v>
      </c>
      <c r="B51" s="79">
        <v>0</v>
      </c>
      <c r="C51" s="68">
        <v>0</v>
      </c>
      <c r="D51" s="79">
        <v>0</v>
      </c>
      <c r="E51" s="68">
        <f t="shared" si="2"/>
        <v>0</v>
      </c>
      <c r="F51" s="68" t="e">
        <f t="shared" si="3"/>
        <v>#DIV/0!</v>
      </c>
      <c r="AI51" s="120"/>
      <c r="AJ51" s="121"/>
      <c r="AK51" s="120"/>
      <c r="AL51" s="121"/>
      <c r="AM51" s="120"/>
      <c r="AN51" s="121"/>
      <c r="AO51" s="120"/>
      <c r="AP51" s="121"/>
    </row>
  </sheetData>
  <autoFilter ref="A1:CL1" xr:uid="{00000000-0009-0000-0000-000006000000}">
    <sortState xmlns:xlrd2="http://schemas.microsoft.com/office/spreadsheetml/2017/richdata2"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CWL 1</vt:lpstr>
      <vt:lpstr>CWL 2</vt:lpstr>
      <vt:lpstr>CWL 3</vt:lpstr>
      <vt:lpstr>CWL 4</vt:lpstr>
      <vt:lpstr>avv</vt:lpstr>
      <vt:lpstr>partecipanti</vt:lpstr>
      <vt:lpstr>wars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pietro giannini</cp:lastModifiedBy>
  <dcterms:created xsi:type="dcterms:W3CDTF">2025-11-06T14:05:00Z</dcterms:created>
  <dcterms:modified xsi:type="dcterms:W3CDTF">2026-04-04T13:57:08Z</dcterms:modified>
</cp:coreProperties>
</file>