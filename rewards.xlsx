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ente\Desktop\clash\"/>
    </mc:Choice>
  </mc:AlternateContent>
  <xr:revisionPtr revIDLastSave="0" documentId="13_ncr:1_{054AFCD4-3817-40CA-9361-482F622D3396}" xr6:coauthVersionLast="47" xr6:coauthVersionMax="47" xr10:uidLastSave="{00000000-0000-0000-0000-000000000000}"/>
  <bookViews>
    <workbookView xWindow="22932" yWindow="-108" windowWidth="23256" windowHeight="12576" xr2:uid="{2B27E2D7-7E1F-4830-8A43-C634E6A715E0}"/>
  </bookViews>
  <sheets>
    <sheet name="clan games" sheetId="5" r:id="rId1"/>
    <sheet name="CLAN CAPITAL" sheetId="6" r:id="rId2"/>
    <sheet name="avv" sheetId="7" r:id="rId3"/>
    <sheet name="CWL 1" sheetId="1" r:id="rId4"/>
    <sheet name="CWL 2" sheetId="2" r:id="rId5"/>
    <sheet name="partecipanti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" i="2" l="1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S12" i="2"/>
  <c r="S7" i="2"/>
  <c r="J21" i="2"/>
  <c r="M21" i="2"/>
  <c r="P21" i="2"/>
  <c r="S21" i="2"/>
  <c r="S3" i="2"/>
  <c r="P10" i="2"/>
  <c r="P14" i="2"/>
  <c r="P15" i="2"/>
  <c r="P27" i="2"/>
  <c r="P30" i="2"/>
  <c r="P29" i="2"/>
  <c r="P25" i="2"/>
  <c r="P23" i="2"/>
  <c r="P13" i="2"/>
  <c r="P5" i="2"/>
  <c r="V34" i="2"/>
  <c r="S34" i="2"/>
  <c r="P34" i="2"/>
  <c r="D34" i="2"/>
  <c r="M12" i="2"/>
  <c r="M13" i="2"/>
  <c r="M14" i="2"/>
  <c r="S4" i="2"/>
  <c r="S5" i="2"/>
  <c r="S6" i="2"/>
  <c r="S8" i="2"/>
  <c r="S9" i="2"/>
  <c r="S10" i="2"/>
  <c r="S11" i="2"/>
  <c r="S13" i="2"/>
  <c r="S14" i="2"/>
  <c r="S15" i="2"/>
  <c r="S16" i="2"/>
  <c r="S17" i="2"/>
  <c r="S18" i="2"/>
  <c r="S20" i="2"/>
  <c r="S22" i="2"/>
  <c r="S23" i="2"/>
  <c r="S25" i="2"/>
  <c r="S24" i="2"/>
  <c r="S26" i="2"/>
  <c r="S27" i="2"/>
  <c r="S28" i="2"/>
  <c r="S29" i="2"/>
  <c r="S30" i="2"/>
  <c r="S19" i="2"/>
  <c r="S31" i="2"/>
  <c r="S32" i="2"/>
  <c r="V3" i="2"/>
  <c r="P4" i="2"/>
  <c r="P7" i="2"/>
  <c r="P8" i="2"/>
  <c r="P11" i="2"/>
  <c r="P12" i="2"/>
  <c r="P16" i="2"/>
  <c r="P17" i="2"/>
  <c r="P18" i="2"/>
  <c r="P20" i="2"/>
  <c r="P22" i="2"/>
  <c r="P26" i="2"/>
  <c r="P28" i="2"/>
  <c r="P19" i="2"/>
  <c r="P31" i="2"/>
  <c r="P3" i="2"/>
  <c r="M5" i="2"/>
  <c r="M6" i="2"/>
  <c r="M7" i="2"/>
  <c r="M8" i="2"/>
  <c r="M10" i="2"/>
  <c r="M11" i="2"/>
  <c r="M15" i="2"/>
  <c r="M16" i="2"/>
  <c r="M17" i="2"/>
  <c r="M18" i="2"/>
  <c r="M20" i="2"/>
  <c r="M22" i="2"/>
  <c r="M23" i="2"/>
  <c r="M24" i="2"/>
  <c r="M26" i="2"/>
  <c r="M28" i="2"/>
  <c r="M29" i="2"/>
  <c r="M30" i="2"/>
  <c r="M31" i="2"/>
  <c r="M3" i="2"/>
  <c r="J6" i="2"/>
  <c r="J8" i="2"/>
  <c r="J7" i="2"/>
  <c r="J10" i="2"/>
  <c r="J11" i="2"/>
  <c r="J13" i="2"/>
  <c r="J14" i="2"/>
  <c r="J15" i="2"/>
  <c r="J17" i="2"/>
  <c r="J16" i="2"/>
  <c r="J18" i="2"/>
  <c r="J20" i="2"/>
  <c r="J22" i="2"/>
  <c r="J23" i="2"/>
  <c r="J25" i="2"/>
  <c r="J27" i="2"/>
  <c r="J28" i="2"/>
  <c r="J30" i="2"/>
  <c r="J31" i="2"/>
  <c r="J32" i="2"/>
  <c r="J29" i="2"/>
  <c r="J3" i="2"/>
  <c r="G3" i="2"/>
  <c r="G28" i="2"/>
  <c r="G25" i="2"/>
  <c r="G18" i="2"/>
  <c r="G17" i="2"/>
  <c r="G14" i="2"/>
  <c r="G13" i="2"/>
  <c r="G11" i="2"/>
  <c r="G26" i="2"/>
  <c r="G29" i="2"/>
  <c r="G32" i="2"/>
  <c r="G31" i="2"/>
  <c r="G30" i="2"/>
  <c r="G27" i="2"/>
  <c r="G23" i="2"/>
  <c r="G22" i="2"/>
  <c r="G20" i="2"/>
  <c r="G16" i="2"/>
  <c r="G15" i="2"/>
  <c r="G10" i="2"/>
  <c r="G7" i="2"/>
  <c r="G8" i="2"/>
  <c r="G5" i="2"/>
  <c r="G4" i="2"/>
  <c r="D3" i="2"/>
  <c r="D26" i="2"/>
  <c r="D28" i="2"/>
  <c r="D6" i="2"/>
  <c r="D17" i="2"/>
  <c r="D13" i="2"/>
  <c r="D14" i="2"/>
  <c r="D29" i="2"/>
  <c r="D31" i="2"/>
  <c r="D32" i="2"/>
  <c r="D30" i="2"/>
  <c r="D27" i="2"/>
  <c r="D22" i="2"/>
  <c r="D20" i="2"/>
  <c r="D16" i="2"/>
  <c r="D18" i="2"/>
  <c r="D25" i="2"/>
  <c r="D23" i="2"/>
  <c r="D15" i="2"/>
  <c r="D12" i="2"/>
  <c r="D11" i="2"/>
  <c r="D10" i="2"/>
  <c r="D7" i="2"/>
  <c r="D8" i="2"/>
  <c r="D4" i="2"/>
  <c r="D5" i="2"/>
  <c r="C18" i="6"/>
  <c r="C2" i="5"/>
  <c r="C8" i="6"/>
  <c r="C17" i="6"/>
  <c r="C19" i="6"/>
  <c r="C5" i="6"/>
  <c r="C14" i="6"/>
  <c r="C6" i="6"/>
  <c r="C2" i="6"/>
  <c r="C3" i="6"/>
  <c r="C20" i="6"/>
  <c r="C21" i="6"/>
  <c r="C22" i="6"/>
  <c r="C23" i="6"/>
  <c r="C24" i="6"/>
  <c r="C7" i="6"/>
  <c r="C25" i="6"/>
  <c r="C9" i="6"/>
  <c r="C4" i="6"/>
  <c r="C10" i="6"/>
  <c r="C11" i="6"/>
  <c r="C26" i="6"/>
  <c r="C15" i="6"/>
  <c r="C27" i="6"/>
  <c r="C28" i="6"/>
  <c r="C12" i="6"/>
  <c r="C13" i="6"/>
  <c r="C29" i="6"/>
  <c r="C30" i="6"/>
  <c r="C31" i="6"/>
  <c r="C16" i="6"/>
  <c r="D3" i="5"/>
  <c r="D4" i="5"/>
  <c r="D5" i="5"/>
  <c r="D6" i="5"/>
  <c r="D7" i="5"/>
  <c r="D8" i="5"/>
  <c r="D9" i="5"/>
  <c r="D10" i="5"/>
  <c r="D11" i="5"/>
  <c r="D12" i="5"/>
  <c r="D13" i="5"/>
  <c r="D22" i="5"/>
  <c r="D23" i="5"/>
  <c r="D24" i="5"/>
  <c r="D14" i="5"/>
  <c r="D25" i="5"/>
  <c r="D26" i="5"/>
  <c r="D15" i="5"/>
  <c r="D16" i="5"/>
  <c r="D17" i="5"/>
  <c r="D18" i="5"/>
  <c r="D27" i="5"/>
  <c r="D19" i="5"/>
  <c r="D28" i="5"/>
  <c r="D20" i="5"/>
  <c r="D21" i="5"/>
  <c r="D29" i="5"/>
  <c r="D30" i="5"/>
  <c r="D2" i="5"/>
  <c r="C22" i="5"/>
  <c r="C23" i="5"/>
  <c r="C24" i="5"/>
  <c r="C3" i="5"/>
  <c r="C14" i="5"/>
  <c r="C11" i="5"/>
  <c r="C10" i="5"/>
  <c r="C25" i="5"/>
  <c r="C4" i="5"/>
  <c r="C9" i="5"/>
  <c r="C26" i="5"/>
  <c r="C15" i="5"/>
  <c r="C16" i="5"/>
  <c r="C17" i="5"/>
  <c r="C7" i="5"/>
  <c r="C18" i="5"/>
  <c r="C8" i="5"/>
  <c r="C12" i="5"/>
  <c r="C27" i="5"/>
  <c r="C19" i="5"/>
  <c r="C28" i="5"/>
  <c r="C20" i="5"/>
  <c r="C21" i="5"/>
  <c r="C6" i="5"/>
  <c r="C29" i="5"/>
  <c r="C30" i="5"/>
  <c r="C5" i="5"/>
  <c r="C13" i="5"/>
</calcChain>
</file>

<file path=xl/sharedStrings.xml><?xml version="1.0" encoding="utf-8"?>
<sst xmlns="http://schemas.openxmlformats.org/spreadsheetml/2006/main" count="241" uniqueCount="77">
  <si>
    <t>nome</t>
  </si>
  <si>
    <t>xblade</t>
  </si>
  <si>
    <t>marcojk</t>
  </si>
  <si>
    <t>dado</t>
  </si>
  <si>
    <t>bigmc</t>
  </si>
  <si>
    <t>luigi01</t>
  </si>
  <si>
    <t>piegian99</t>
  </si>
  <si>
    <t>luigi</t>
  </si>
  <si>
    <t>stentaa</t>
  </si>
  <si>
    <t>leo</t>
  </si>
  <si>
    <t>cleopatra</t>
  </si>
  <si>
    <t>haha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</si>
  <si>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</si>
  <si>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</si>
  <si>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</si>
  <si>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</si>
  <si>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</si>
  <si>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</si>
  <si>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</si>
  <si>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</si>
  <si>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</si>
  <si>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</si>
  <si>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</si>
  <si>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</si>
  <si>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</si>
  <si>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</si>
  <si>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</si>
  <si>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</si>
  <si>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</si>
  <si>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</si>
  <si>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simone</t>
  </si>
  <si>
    <t>stelle</t>
  </si>
  <si>
    <t>th</t>
  </si>
  <si>
    <t>pos</t>
  </si>
  <si>
    <t>12 13</t>
  </si>
  <si>
    <t>11 12</t>
  </si>
  <si>
    <t>10 11</t>
  </si>
  <si>
    <t>attacco basso</t>
  </si>
  <si>
    <t>attacco pessimo</t>
  </si>
  <si>
    <t>no attacco</t>
  </si>
  <si>
    <t>assegnazione forzata</t>
  </si>
  <si>
    <t>pigiamone99</t>
  </si>
  <si>
    <t>sono io lakaka</t>
  </si>
  <si>
    <t>serra</t>
  </si>
  <si>
    <t>chabby</t>
  </si>
  <si>
    <t>sidcu</t>
  </si>
  <si>
    <t>di gio</t>
  </si>
  <si>
    <t>d 011</t>
  </si>
  <si>
    <t>zombra</t>
  </si>
  <si>
    <t>kakko garau</t>
  </si>
  <si>
    <t>serena</t>
  </si>
  <si>
    <t>heloo</t>
  </si>
  <si>
    <t>maikol_lix</t>
  </si>
  <si>
    <t>ajejebrazorf</t>
  </si>
  <si>
    <t>edododo</t>
  </si>
  <si>
    <t>marcojk007</t>
  </si>
  <si>
    <t>gionny</t>
  </si>
  <si>
    <t>dela</t>
  </si>
  <si>
    <t>nik</t>
  </si>
  <si>
    <t>buff x bow</t>
  </si>
  <si>
    <t>christian</t>
  </si>
  <si>
    <t>fabio</t>
  </si>
  <si>
    <t>daniele</t>
  </si>
  <si>
    <t>federico99</t>
  </si>
  <si>
    <t>lord pucci</t>
  </si>
  <si>
    <t>MEDIA</t>
  </si>
  <si>
    <t>TOTALE</t>
  </si>
  <si>
    <t>CC MEAN</t>
  </si>
  <si>
    <t>carfi</t>
  </si>
  <si>
    <t>ottimo attacco</t>
  </si>
  <si>
    <t>18+ pos</t>
  </si>
  <si>
    <t>buff-x-bow</t>
  </si>
  <si>
    <t xml:space="preserve"> attacco ok</t>
  </si>
  <si>
    <t>attacco meh</t>
  </si>
  <si>
    <t>CWL2</t>
  </si>
  <si>
    <t>DATA</t>
  </si>
  <si>
    <t>NOME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</si>
</sst>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7" xfId="0" applyBorder="1"/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0" xfId="0" applyFill="1"/>
    <xf numFmtId="0" fontId="0" fillId="5" borderId="0" xfId="0" applyFill="1"/>
    <xf numFmtId="0" fontId="0" fillId="2" borderId="0" xfId="0" applyFill="1"/>
    <xf numFmtId="0" fontId="0" fillId="10" borderId="0" xfId="0" applyFill="1"/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1" borderId="1" xfId="0" applyFill="1" applyBorder="1" applyAlignment="1">
      <alignment horizontal="center" vertical="top"/>
    </xf>
    <xf numFmtId="0" fontId="0" fillId="11" borderId="0" xfId="0" applyFill="1" applyAlignment="1">
      <alignment horizontal="center" vertical="top"/>
    </xf>
    <xf numFmtId="0" fontId="0" fillId="11" borderId="2" xfId="0" applyFill="1" applyBorder="1" applyAlignment="1">
      <alignment horizontal="center" vertical="top"/>
    </xf>
    <xf numFmtId="0" fontId="0" fillId="11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2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4" borderId="1" xfId="0" applyFill="1" applyBorder="1" applyAlignment="1">
      <alignment horizontal="center" vertical="top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5" borderId="0" xfId="0" applyFill="1" applyAlignment="1">
      <alignment horizontal="center" vertical="top"/>
    </xf>
    <xf numFmtId="0" fontId="0" fillId="15" borderId="2" xfId="0" applyFill="1" applyBorder="1" applyAlignment="1">
      <alignment horizontal="center" vertical="top"/>
    </xf>
    <xf numFmtId="0" fontId="0" fillId="15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164" fontId="0" fillId="0" borderId="7" xfId="0" applyNumberFormat="1" applyBorder="1" applyAlignment="1">
      <alignment horizontal="center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3" fillId="0" borderId="0" xfId="0" applyFont="1" applyAlignment="1">
      <alignment horizontal="center"/>
    </xf>
    <xf numFmtId="0" fontId="3" fillId="0" borderId="7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14" fontId="0" fillId="0" borderId="7" xfId="0" applyNumberFormat="1" applyBorder="1" applyAlignment="1">
      <alignment horizontal="center"/>
    </xf>
    <xf numFmtId="0" fontId="3" fillId="0" borderId="0" xfId="0" applyFont="1"/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2" fillId="12" borderId="3" xfId="0" applyFont="1" applyFill="1" applyBorder="1" applyAlignment="1">
      <alignment horizontal="center" vertical="top"/>
    </xf>
    <xf numFmtId="0" fontId="2" fillId="12" borderId="4" xfId="0" applyFont="1" applyFill="1" applyBorder="1" applyAlignment="1">
      <alignment horizontal="center" vertical="top"/>
    </xf>
    <xf numFmtId="0" fontId="2" fillId="12" borderId="5" xfId="0" applyFont="1" applyFill="1" applyBorder="1" applyAlignment="1">
      <alignment horizontal="center" vertical="top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C5475-58D1-4CA7-BB04-00C11E8E7FA7}">
  <dimension ref="A1:M30"/>
  <sheetViews>
    <sheetView tabSelected="1" workbookViewId="0">
      <selection activeCell="M6" sqref="M6"/>
    </sheetView>
  </sheetViews>
  <sheetFormatPr defaultRowHeight="15" x14ac:dyDescent="0.25"/>
  <cols>
    <col min="1" max="1" width="14.42578125" customWidth="1"/>
    <col min="2" max="2" width="7.5703125" customWidth="1"/>
    <col min="3" max="3" width="9.140625" style="36"/>
    <col min="4" max="4" width="9.140625" style="37"/>
    <col min="5" max="5" width="9.140625" style="38"/>
  </cols>
  <sheetData>
    <row r="1" spans="1:13" s="102" customFormat="1" ht="15.75" thickBot="1" x14ac:dyDescent="0.3">
      <c r="A1" s="101" t="s">
        <v>76</v>
      </c>
      <c r="B1" s="102" t="s">
        <v>75</v>
      </c>
      <c r="C1" s="101" t="s">
        <v>65</v>
      </c>
      <c r="D1" s="103" t="s">
        <v>66</v>
      </c>
      <c r="E1" s="104" t="s">
        <v>67</v>
      </c>
    </row>
    <row r="2" spans="1:13" x14ac:dyDescent="0.25">
      <c r="A2" s="43" t="s">
        <v>44</v>
      </c>
      <c r="C2" s="36">
        <f t="shared" ref="C2:C30" si="0">AVERAGE(F2:AB2)</f>
        <v>0</v>
      </c>
      <c r="D2" s="37">
        <f t="shared" ref="D2:D30" si="1">SUM(F2:AB2)</f>
        <v>0</v>
      </c>
      <c r="G2">
        <v>0</v>
      </c>
    </row>
    <row r="3" spans="1:13" x14ac:dyDescent="0.25">
      <c r="A3" s="43" t="s">
        <v>47</v>
      </c>
      <c r="C3" s="36">
        <f t="shared" si="0"/>
        <v>0</v>
      </c>
      <c r="D3" s="37">
        <f t="shared" si="1"/>
        <v>0</v>
      </c>
      <c r="G3">
        <v>0</v>
      </c>
    </row>
    <row r="4" spans="1:13" x14ac:dyDescent="0.25">
      <c r="A4" s="43" t="s">
        <v>56</v>
      </c>
      <c r="C4" s="36">
        <f t="shared" si="0"/>
        <v>0</v>
      </c>
      <c r="D4" s="37">
        <f t="shared" si="1"/>
        <v>0</v>
      </c>
      <c r="G4">
        <v>0</v>
      </c>
    </row>
    <row r="5" spans="1:13" x14ac:dyDescent="0.25">
      <c r="A5" s="44" t="s">
        <v>48</v>
      </c>
      <c r="C5" s="36">
        <f t="shared" si="0"/>
        <v>0</v>
      </c>
      <c r="D5" s="37">
        <f t="shared" si="1"/>
        <v>0</v>
      </c>
      <c r="G5">
        <v>0</v>
      </c>
    </row>
    <row r="6" spans="1:13" x14ac:dyDescent="0.25">
      <c r="A6" s="45" t="s">
        <v>42</v>
      </c>
      <c r="C6" s="36">
        <f t="shared" si="0"/>
        <v>250</v>
      </c>
      <c r="D6" s="37">
        <f t="shared" si="1"/>
        <v>250</v>
      </c>
      <c r="G6">
        <v>250</v>
      </c>
    </row>
    <row r="7" spans="1:13" x14ac:dyDescent="0.25">
      <c r="A7" s="42" t="s">
        <v>64</v>
      </c>
      <c r="C7" s="36">
        <f t="shared" si="0"/>
        <v>450</v>
      </c>
      <c r="D7" s="37">
        <f t="shared" si="1"/>
        <v>450</v>
      </c>
      <c r="G7">
        <v>450</v>
      </c>
      <c r="M7" s="94"/>
    </row>
    <row r="8" spans="1:13" x14ac:dyDescent="0.25">
      <c r="A8" s="45" t="s">
        <v>19</v>
      </c>
      <c r="C8" s="36">
        <f t="shared" si="0"/>
        <v>500</v>
      </c>
      <c r="D8" s="37">
        <f t="shared" si="1"/>
        <v>1000</v>
      </c>
      <c r="F8">
        <v>1000</v>
      </c>
      <c r="G8">
        <v>0</v>
      </c>
    </row>
    <row r="9" spans="1:13" x14ac:dyDescent="0.25">
      <c r="A9" t="s">
        <v>15</v>
      </c>
      <c r="C9" s="36">
        <f t="shared" si="0"/>
        <v>1975</v>
      </c>
      <c r="D9" s="37">
        <f t="shared" si="1"/>
        <v>3950</v>
      </c>
      <c r="F9">
        <v>1500</v>
      </c>
      <c r="G9">
        <v>2450</v>
      </c>
    </row>
    <row r="10" spans="1:13" x14ac:dyDescent="0.25">
      <c r="A10" t="s">
        <v>18</v>
      </c>
      <c r="C10" s="36">
        <f t="shared" si="0"/>
        <v>2000</v>
      </c>
      <c r="D10" s="37">
        <f t="shared" si="1"/>
        <v>4000</v>
      </c>
      <c r="F10">
        <v>4000</v>
      </c>
      <c r="G10">
        <v>0</v>
      </c>
    </row>
    <row r="11" spans="1:13" x14ac:dyDescent="0.25">
      <c r="A11" t="s">
        <v>46</v>
      </c>
      <c r="C11" s="36">
        <f t="shared" si="0"/>
        <v>2250</v>
      </c>
      <c r="D11" s="37">
        <f t="shared" si="1"/>
        <v>2250</v>
      </c>
      <c r="G11">
        <v>2250</v>
      </c>
    </row>
    <row r="12" spans="1:13" x14ac:dyDescent="0.25">
      <c r="A12" t="s">
        <v>52</v>
      </c>
      <c r="C12" s="36">
        <f t="shared" si="0"/>
        <v>3050</v>
      </c>
      <c r="D12" s="37">
        <f t="shared" si="1"/>
        <v>6100</v>
      </c>
      <c r="F12">
        <v>4000</v>
      </c>
      <c r="G12">
        <v>2100</v>
      </c>
    </row>
    <row r="13" spans="1:13" x14ac:dyDescent="0.25">
      <c r="A13" t="s">
        <v>53</v>
      </c>
      <c r="C13" s="36">
        <f t="shared" si="0"/>
        <v>4000</v>
      </c>
      <c r="D13" s="37">
        <f t="shared" si="1"/>
        <v>4000</v>
      </c>
      <c r="G13">
        <v>4000</v>
      </c>
    </row>
    <row r="14" spans="1:13" x14ac:dyDescent="0.25">
      <c r="A14" t="s">
        <v>62</v>
      </c>
      <c r="C14" s="36">
        <f t="shared" si="0"/>
        <v>4000</v>
      </c>
      <c r="D14" s="37">
        <f t="shared" si="1"/>
        <v>4000</v>
      </c>
      <c r="G14">
        <v>4000</v>
      </c>
    </row>
    <row r="15" spans="1:13" x14ac:dyDescent="0.25">
      <c r="A15" t="s">
        <v>12</v>
      </c>
      <c r="C15" s="36">
        <f t="shared" si="0"/>
        <v>4000</v>
      </c>
      <c r="D15" s="37">
        <f t="shared" si="1"/>
        <v>4000</v>
      </c>
      <c r="G15">
        <v>4000</v>
      </c>
    </row>
    <row r="16" spans="1:13" x14ac:dyDescent="0.25">
      <c r="A16" t="s">
        <v>49</v>
      </c>
      <c r="C16" s="36">
        <f t="shared" si="0"/>
        <v>4000</v>
      </c>
      <c r="D16" s="37">
        <f t="shared" si="1"/>
        <v>4000</v>
      </c>
      <c r="G16">
        <v>4000</v>
      </c>
    </row>
    <row r="17" spans="1:7" x14ac:dyDescent="0.25">
      <c r="A17" t="s">
        <v>9</v>
      </c>
      <c r="C17" s="36">
        <f t="shared" si="0"/>
        <v>4000</v>
      </c>
      <c r="D17" s="37">
        <f t="shared" si="1"/>
        <v>4000</v>
      </c>
      <c r="G17">
        <v>4000</v>
      </c>
    </row>
    <row r="18" spans="1:7" x14ac:dyDescent="0.25">
      <c r="A18" t="s">
        <v>5</v>
      </c>
      <c r="C18" s="36">
        <f t="shared" si="0"/>
        <v>4000</v>
      </c>
      <c r="D18" s="37">
        <f t="shared" si="1"/>
        <v>4000</v>
      </c>
      <c r="G18">
        <v>4000</v>
      </c>
    </row>
    <row r="19" spans="1:7" x14ac:dyDescent="0.25">
      <c r="A19" t="s">
        <v>14</v>
      </c>
      <c r="C19" s="36">
        <f t="shared" si="0"/>
        <v>4000</v>
      </c>
      <c r="D19" s="37">
        <f t="shared" si="1"/>
        <v>4000</v>
      </c>
      <c r="G19">
        <v>4000</v>
      </c>
    </row>
    <row r="20" spans="1:7" x14ac:dyDescent="0.25">
      <c r="A20" t="s">
        <v>45</v>
      </c>
      <c r="C20" s="36">
        <f t="shared" si="0"/>
        <v>4000</v>
      </c>
      <c r="D20" s="37">
        <f t="shared" si="1"/>
        <v>4000</v>
      </c>
      <c r="G20">
        <v>4000</v>
      </c>
    </row>
    <row r="21" spans="1:7" x14ac:dyDescent="0.25">
      <c r="A21" t="s">
        <v>30</v>
      </c>
      <c r="C21" s="36">
        <f t="shared" si="0"/>
        <v>4000</v>
      </c>
      <c r="D21" s="37">
        <f t="shared" si="1"/>
        <v>4000</v>
      </c>
      <c r="G21">
        <v>4000</v>
      </c>
    </row>
    <row r="22" spans="1:7" x14ac:dyDescent="0.25">
      <c r="A22" t="s">
        <v>13</v>
      </c>
      <c r="C22" s="36">
        <f t="shared" si="0"/>
        <v>4000</v>
      </c>
      <c r="D22" s="37">
        <f t="shared" si="1"/>
        <v>8000</v>
      </c>
      <c r="F22">
        <v>4000</v>
      </c>
      <c r="G22">
        <v>4000</v>
      </c>
    </row>
    <row r="23" spans="1:7" x14ac:dyDescent="0.25">
      <c r="A23" t="s">
        <v>59</v>
      </c>
      <c r="C23" s="36">
        <f t="shared" si="0"/>
        <v>4000</v>
      </c>
      <c r="D23" s="37">
        <f t="shared" si="1"/>
        <v>8000</v>
      </c>
      <c r="F23">
        <v>4000</v>
      </c>
      <c r="G23">
        <v>4000</v>
      </c>
    </row>
    <row r="24" spans="1:7" x14ac:dyDescent="0.25">
      <c r="A24" t="s">
        <v>10</v>
      </c>
      <c r="C24" s="36">
        <f t="shared" si="0"/>
        <v>4000</v>
      </c>
      <c r="D24" s="37">
        <f t="shared" si="1"/>
        <v>8000</v>
      </c>
      <c r="F24">
        <v>4000</v>
      </c>
      <c r="G24">
        <v>4000</v>
      </c>
    </row>
    <row r="25" spans="1:7" x14ac:dyDescent="0.25">
      <c r="A25" t="s">
        <v>22</v>
      </c>
      <c r="C25" s="36">
        <f t="shared" si="0"/>
        <v>4000</v>
      </c>
      <c r="D25" s="37">
        <f t="shared" si="1"/>
        <v>8000</v>
      </c>
      <c r="F25">
        <v>4000</v>
      </c>
      <c r="G25">
        <v>4000</v>
      </c>
    </row>
    <row r="26" spans="1:7" x14ac:dyDescent="0.25">
      <c r="A26" t="s">
        <v>11</v>
      </c>
      <c r="C26" s="36">
        <f t="shared" si="0"/>
        <v>4000</v>
      </c>
      <c r="D26" s="37">
        <f t="shared" si="1"/>
        <v>8000</v>
      </c>
      <c r="F26">
        <v>4000</v>
      </c>
      <c r="G26">
        <v>4000</v>
      </c>
    </row>
    <row r="27" spans="1:7" x14ac:dyDescent="0.25">
      <c r="A27" t="s">
        <v>23</v>
      </c>
      <c r="C27" s="36">
        <f t="shared" si="0"/>
        <v>4000</v>
      </c>
      <c r="D27" s="37">
        <f t="shared" si="1"/>
        <v>8000</v>
      </c>
      <c r="F27">
        <v>4000</v>
      </c>
      <c r="G27">
        <v>4000</v>
      </c>
    </row>
    <row r="28" spans="1:7" x14ac:dyDescent="0.25">
      <c r="A28" t="s">
        <v>43</v>
      </c>
      <c r="C28" s="36">
        <f t="shared" si="0"/>
        <v>4000</v>
      </c>
      <c r="D28" s="37">
        <f t="shared" si="1"/>
        <v>8000</v>
      </c>
      <c r="F28">
        <v>4000</v>
      </c>
      <c r="G28">
        <v>4000</v>
      </c>
    </row>
    <row r="29" spans="1:7" x14ac:dyDescent="0.25">
      <c r="A29" t="s">
        <v>8</v>
      </c>
      <c r="C29" s="36">
        <f t="shared" si="0"/>
        <v>4000</v>
      </c>
      <c r="D29" s="37">
        <f t="shared" si="1"/>
        <v>8000</v>
      </c>
      <c r="F29">
        <v>4000</v>
      </c>
      <c r="G29">
        <v>4000</v>
      </c>
    </row>
    <row r="30" spans="1:7" x14ac:dyDescent="0.25">
      <c r="A30" t="s">
        <v>27</v>
      </c>
      <c r="C30" s="36">
        <f t="shared" si="0"/>
        <v>4000</v>
      </c>
      <c r="D30" s="37">
        <f t="shared" si="1"/>
        <v>8000</v>
      </c>
      <c r="F30">
        <v>4000</v>
      </c>
      <c r="G30">
        <v>4000</v>
      </c>
    </row>
  </sheetData>
  <sortState xmlns:xlrd2="http://schemas.microsoft.com/office/spreadsheetml/2017/richdata2" ref="A2:H30">
    <sortCondition ref="C2:C30"/>
    <sortCondition ref="D2:D30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2643D-148F-4FF6-BF17-1FF17607D810}">
  <dimension ref="A1:F33"/>
  <sheetViews>
    <sheetView workbookViewId="0">
      <selection sqref="A1:XFD1048576"/>
    </sheetView>
  </sheetViews>
  <sheetFormatPr defaultColWidth="9.140625" defaultRowHeight="15" x14ac:dyDescent="0.25"/>
  <cols>
    <col min="1" max="1" width="15.28515625" style="4" customWidth="1"/>
    <col min="2" max="2" width="15.28515625" style="40" customWidth="1"/>
    <col min="3" max="3" width="11.5703125" style="40" bestFit="1" customWidth="1"/>
    <col min="4" max="16384" width="9.140625" style="4"/>
  </cols>
  <sheetData>
    <row r="1" spans="1:6" s="39" customFormat="1" ht="15.75" thickBot="1" x14ac:dyDescent="0.3">
      <c r="A1" s="91" t="s">
        <v>76</v>
      </c>
      <c r="B1" s="92" t="s">
        <v>75</v>
      </c>
      <c r="C1" s="92" t="s">
        <v>65</v>
      </c>
    </row>
    <row r="2" spans="1:6" x14ac:dyDescent="0.25">
      <c r="A2" s="41" t="s">
        <v>46</v>
      </c>
      <c r="B2" s="93">
        <v>46004</v>
      </c>
      <c r="C2" s="86">
        <f t="shared" ref="C2:C31" si="0">AVERAGE(D2:AA2)</f>
        <v>0</v>
      </c>
      <c r="D2" s="4">
        <v>0</v>
      </c>
      <c r="E2" s="4">
        <v>0</v>
      </c>
      <c r="F2" s="4">
        <v>0</v>
      </c>
    </row>
    <row r="3" spans="1:6" x14ac:dyDescent="0.25">
      <c r="A3" s="41" t="s">
        <v>18</v>
      </c>
      <c r="B3" s="93">
        <v>46004</v>
      </c>
      <c r="C3" s="86">
        <f t="shared" si="0"/>
        <v>0</v>
      </c>
      <c r="D3" s="4">
        <v>0</v>
      </c>
      <c r="E3" s="4">
        <v>0</v>
      </c>
      <c r="F3" s="4">
        <v>0</v>
      </c>
    </row>
    <row r="4" spans="1:6" x14ac:dyDescent="0.25">
      <c r="A4" s="41" t="s">
        <v>5</v>
      </c>
      <c r="B4" s="93">
        <v>46004</v>
      </c>
      <c r="C4" s="86">
        <f t="shared" si="0"/>
        <v>1.3333333333333333</v>
      </c>
      <c r="D4" s="4">
        <v>0</v>
      </c>
      <c r="E4" s="4">
        <v>0</v>
      </c>
      <c r="F4" s="4">
        <v>4</v>
      </c>
    </row>
    <row r="5" spans="1:6" x14ac:dyDescent="0.25">
      <c r="A5" s="41" t="s">
        <v>10</v>
      </c>
      <c r="B5" s="93">
        <v>46004</v>
      </c>
      <c r="C5" s="86">
        <f t="shared" si="0"/>
        <v>2</v>
      </c>
      <c r="D5" s="4">
        <v>0</v>
      </c>
      <c r="E5" s="4">
        <v>0</v>
      </c>
      <c r="F5" s="4">
        <v>6</v>
      </c>
    </row>
    <row r="6" spans="1:6" x14ac:dyDescent="0.25">
      <c r="A6" s="41" t="s">
        <v>62</v>
      </c>
      <c r="B6" s="93">
        <v>46004</v>
      </c>
      <c r="C6" s="86">
        <f t="shared" si="0"/>
        <v>2</v>
      </c>
      <c r="D6" s="4">
        <v>6</v>
      </c>
      <c r="E6" s="4">
        <v>0</v>
      </c>
      <c r="F6" s="4">
        <v>0</v>
      </c>
    </row>
    <row r="7" spans="1:6" x14ac:dyDescent="0.25">
      <c r="A7" s="4" t="s">
        <v>49</v>
      </c>
      <c r="B7" s="93">
        <v>46004</v>
      </c>
      <c r="C7" s="86">
        <f t="shared" si="0"/>
        <v>3.5</v>
      </c>
      <c r="E7" s="4">
        <v>6</v>
      </c>
      <c r="F7" s="4">
        <v>1</v>
      </c>
    </row>
    <row r="8" spans="1:6" x14ac:dyDescent="0.25">
      <c r="A8" s="41" t="s">
        <v>13</v>
      </c>
      <c r="B8" s="93">
        <v>46004</v>
      </c>
      <c r="C8" s="86">
        <f t="shared" si="0"/>
        <v>4</v>
      </c>
      <c r="D8" s="4">
        <v>6</v>
      </c>
      <c r="E8" s="4">
        <v>0</v>
      </c>
      <c r="F8" s="4">
        <v>6</v>
      </c>
    </row>
    <row r="9" spans="1:6" x14ac:dyDescent="0.25">
      <c r="A9" s="4" t="s">
        <v>64</v>
      </c>
      <c r="B9" s="93">
        <v>46004</v>
      </c>
      <c r="C9" s="86">
        <f t="shared" si="0"/>
        <v>4</v>
      </c>
      <c r="D9" s="4">
        <v>0</v>
      </c>
      <c r="E9" s="4">
        <v>6</v>
      </c>
      <c r="F9" s="4">
        <v>6</v>
      </c>
    </row>
    <row r="10" spans="1:6" x14ac:dyDescent="0.25">
      <c r="A10" s="41" t="s">
        <v>19</v>
      </c>
      <c r="B10" s="93">
        <v>46004</v>
      </c>
      <c r="C10" s="86">
        <f t="shared" si="0"/>
        <v>4</v>
      </c>
      <c r="D10" s="4">
        <v>6</v>
      </c>
      <c r="E10" s="4">
        <v>0</v>
      </c>
      <c r="F10" s="4">
        <v>6</v>
      </c>
    </row>
    <row r="11" spans="1:6" x14ac:dyDescent="0.25">
      <c r="A11" s="41" t="s">
        <v>52</v>
      </c>
      <c r="B11" s="93">
        <v>46004</v>
      </c>
      <c r="C11" s="86">
        <f t="shared" si="0"/>
        <v>4</v>
      </c>
      <c r="D11" s="4">
        <v>6</v>
      </c>
      <c r="E11" s="4">
        <v>0</v>
      </c>
      <c r="F11" s="4">
        <v>6</v>
      </c>
    </row>
    <row r="12" spans="1:6" x14ac:dyDescent="0.25">
      <c r="A12" s="4" t="s">
        <v>30</v>
      </c>
      <c r="B12" s="93">
        <v>46004</v>
      </c>
      <c r="C12" s="86">
        <f t="shared" si="0"/>
        <v>4</v>
      </c>
      <c r="D12" s="4">
        <v>0</v>
      </c>
      <c r="E12" s="4">
        <v>6</v>
      </c>
      <c r="F12" s="4">
        <v>6</v>
      </c>
    </row>
    <row r="13" spans="1:6" x14ac:dyDescent="0.25">
      <c r="A13" s="4" t="s">
        <v>42</v>
      </c>
      <c r="B13" s="93">
        <v>46004</v>
      </c>
      <c r="C13" s="86">
        <f t="shared" si="0"/>
        <v>4</v>
      </c>
      <c r="D13" s="4">
        <v>6</v>
      </c>
      <c r="E13" s="4">
        <v>6</v>
      </c>
      <c r="F13" s="4">
        <v>0</v>
      </c>
    </row>
    <row r="14" spans="1:6" x14ac:dyDescent="0.25">
      <c r="A14" s="4" t="s">
        <v>47</v>
      </c>
      <c r="B14" s="93">
        <v>46004</v>
      </c>
      <c r="C14" s="86">
        <f t="shared" si="0"/>
        <v>4.333333333333333</v>
      </c>
      <c r="D14" s="4">
        <v>5</v>
      </c>
      <c r="E14" s="4">
        <v>3</v>
      </c>
      <c r="F14" s="4">
        <v>5</v>
      </c>
    </row>
    <row r="15" spans="1:6" x14ac:dyDescent="0.25">
      <c r="A15" s="4" t="s">
        <v>14</v>
      </c>
      <c r="B15" s="93">
        <v>46004</v>
      </c>
      <c r="C15" s="86">
        <f t="shared" si="0"/>
        <v>5.666666666666667</v>
      </c>
      <c r="D15" s="4">
        <v>5</v>
      </c>
      <c r="E15" s="4">
        <v>6</v>
      </c>
      <c r="F15" s="4">
        <v>6</v>
      </c>
    </row>
    <row r="16" spans="1:6" x14ac:dyDescent="0.25">
      <c r="A16" s="4" t="s">
        <v>53</v>
      </c>
      <c r="B16" s="93">
        <v>46004</v>
      </c>
      <c r="C16" s="86">
        <f t="shared" si="0"/>
        <v>6</v>
      </c>
      <c r="D16" s="4">
        <v>6</v>
      </c>
      <c r="E16" s="4">
        <v>6</v>
      </c>
      <c r="F16" s="4">
        <v>6</v>
      </c>
    </row>
    <row r="17" spans="1:6" x14ac:dyDescent="0.25">
      <c r="A17" s="4" t="s">
        <v>59</v>
      </c>
      <c r="B17" s="93">
        <v>46004</v>
      </c>
      <c r="C17" s="86">
        <f t="shared" si="0"/>
        <v>6</v>
      </c>
      <c r="D17" s="4">
        <v>6</v>
      </c>
      <c r="E17" s="4">
        <v>6</v>
      </c>
      <c r="F17" s="4">
        <v>6</v>
      </c>
    </row>
    <row r="18" spans="1:6" x14ac:dyDescent="0.25">
      <c r="A18" s="4" t="s">
        <v>68</v>
      </c>
      <c r="B18" s="93">
        <v>46004</v>
      </c>
      <c r="C18" s="86">
        <f t="shared" si="0"/>
        <v>6</v>
      </c>
      <c r="E18" s="4">
        <v>6</v>
      </c>
      <c r="F18" s="4">
        <v>6</v>
      </c>
    </row>
    <row r="19" spans="1:6" x14ac:dyDescent="0.25">
      <c r="A19" s="4" t="s">
        <v>44</v>
      </c>
      <c r="B19" s="93">
        <v>46004</v>
      </c>
      <c r="C19" s="86">
        <f t="shared" si="0"/>
        <v>6</v>
      </c>
      <c r="D19" s="4">
        <v>6</v>
      </c>
      <c r="E19" s="4">
        <v>6</v>
      </c>
      <c r="F19" s="4">
        <v>6</v>
      </c>
    </row>
    <row r="20" spans="1:6" x14ac:dyDescent="0.25">
      <c r="A20" s="4" t="s">
        <v>22</v>
      </c>
      <c r="B20" s="93">
        <v>46004</v>
      </c>
      <c r="C20" s="86">
        <f t="shared" si="0"/>
        <v>6</v>
      </c>
      <c r="D20" s="4">
        <v>6</v>
      </c>
      <c r="E20" s="4">
        <v>6</v>
      </c>
      <c r="F20" s="4">
        <v>6</v>
      </c>
    </row>
    <row r="21" spans="1:6" x14ac:dyDescent="0.25">
      <c r="A21" s="4" t="s">
        <v>56</v>
      </c>
      <c r="B21" s="93">
        <v>46004</v>
      </c>
      <c r="C21" s="86">
        <f t="shared" si="0"/>
        <v>6</v>
      </c>
      <c r="D21" s="4">
        <v>6</v>
      </c>
      <c r="E21" s="4">
        <v>6</v>
      </c>
      <c r="F21" s="4">
        <v>6</v>
      </c>
    </row>
    <row r="22" spans="1:6" x14ac:dyDescent="0.25">
      <c r="A22" s="4" t="s">
        <v>15</v>
      </c>
      <c r="B22" s="93">
        <v>46004</v>
      </c>
      <c r="C22" s="86">
        <f t="shared" si="0"/>
        <v>6</v>
      </c>
      <c r="D22" s="4">
        <v>6</v>
      </c>
      <c r="E22" s="4">
        <v>6</v>
      </c>
      <c r="F22" s="4">
        <v>6</v>
      </c>
    </row>
    <row r="23" spans="1:6" x14ac:dyDescent="0.25">
      <c r="A23" s="4" t="s">
        <v>11</v>
      </c>
      <c r="B23" s="93">
        <v>46004</v>
      </c>
      <c r="C23" s="86">
        <f t="shared" si="0"/>
        <v>6</v>
      </c>
      <c r="D23" s="4">
        <v>6</v>
      </c>
      <c r="E23" s="4">
        <v>6</v>
      </c>
      <c r="F23" s="4">
        <v>6</v>
      </c>
    </row>
    <row r="24" spans="1:6" x14ac:dyDescent="0.25">
      <c r="A24" s="4" t="s">
        <v>12</v>
      </c>
      <c r="B24" s="93">
        <v>46004</v>
      </c>
      <c r="C24" s="86">
        <f t="shared" si="0"/>
        <v>6</v>
      </c>
      <c r="D24" s="4">
        <v>6</v>
      </c>
      <c r="E24" s="4">
        <v>6</v>
      </c>
      <c r="F24" s="4">
        <v>6</v>
      </c>
    </row>
    <row r="25" spans="1:6" x14ac:dyDescent="0.25">
      <c r="A25" s="4" t="s">
        <v>9</v>
      </c>
      <c r="B25" s="93">
        <v>46004</v>
      </c>
      <c r="C25" s="86">
        <f t="shared" si="0"/>
        <v>6</v>
      </c>
      <c r="D25" s="4">
        <v>6</v>
      </c>
      <c r="E25" s="4">
        <v>6</v>
      </c>
      <c r="F25" s="4">
        <v>6</v>
      </c>
    </row>
    <row r="26" spans="1:6" x14ac:dyDescent="0.25">
      <c r="A26" s="4" t="s">
        <v>23</v>
      </c>
      <c r="B26" s="93">
        <v>46004</v>
      </c>
      <c r="C26" s="86">
        <f t="shared" si="0"/>
        <v>6</v>
      </c>
      <c r="D26" s="4">
        <v>6</v>
      </c>
      <c r="E26" s="4">
        <v>6</v>
      </c>
      <c r="F26" s="4">
        <v>6</v>
      </c>
    </row>
    <row r="27" spans="1:6" x14ac:dyDescent="0.25">
      <c r="A27" s="4" t="s">
        <v>43</v>
      </c>
      <c r="B27" s="93">
        <v>46004</v>
      </c>
      <c r="C27" s="86">
        <f t="shared" si="0"/>
        <v>6</v>
      </c>
      <c r="D27" s="4">
        <v>6</v>
      </c>
      <c r="E27" s="4">
        <v>6</v>
      </c>
      <c r="F27" s="4">
        <v>6</v>
      </c>
    </row>
    <row r="28" spans="1:6" x14ac:dyDescent="0.25">
      <c r="A28" s="4" t="s">
        <v>45</v>
      </c>
      <c r="B28" s="93">
        <v>46004</v>
      </c>
      <c r="C28" s="86">
        <f t="shared" si="0"/>
        <v>6</v>
      </c>
      <c r="D28" s="4">
        <v>6</v>
      </c>
      <c r="E28" s="4">
        <v>6</v>
      </c>
      <c r="F28" s="4">
        <v>6</v>
      </c>
    </row>
    <row r="29" spans="1:6" x14ac:dyDescent="0.25">
      <c r="A29" s="4" t="s">
        <v>8</v>
      </c>
      <c r="B29" s="93">
        <v>46004</v>
      </c>
      <c r="C29" s="86">
        <f t="shared" si="0"/>
        <v>6</v>
      </c>
      <c r="D29" s="4">
        <v>6</v>
      </c>
      <c r="E29" s="4">
        <v>6</v>
      </c>
      <c r="F29" s="4">
        <v>6</v>
      </c>
    </row>
    <row r="30" spans="1:6" x14ac:dyDescent="0.25">
      <c r="A30" s="4" t="s">
        <v>27</v>
      </c>
      <c r="B30" s="93">
        <v>46004</v>
      </c>
      <c r="C30" s="86">
        <f t="shared" si="0"/>
        <v>6</v>
      </c>
      <c r="D30" s="4">
        <v>6</v>
      </c>
      <c r="E30" s="4">
        <v>6</v>
      </c>
      <c r="F30" s="4">
        <v>6</v>
      </c>
    </row>
    <row r="31" spans="1:6" x14ac:dyDescent="0.25">
      <c r="A31" s="4" t="s">
        <v>48</v>
      </c>
      <c r="B31" s="93">
        <v>46004</v>
      </c>
      <c r="C31" s="86">
        <f t="shared" si="0"/>
        <v>6</v>
      </c>
      <c r="E31" s="4">
        <v>6</v>
      </c>
      <c r="F31" s="4">
        <v>6</v>
      </c>
    </row>
    <row r="32" spans="1:6" x14ac:dyDescent="0.25">
      <c r="A32" s="89"/>
      <c r="B32" s="90"/>
    </row>
    <row r="33" spans="3:3" x14ac:dyDescent="0.25">
      <c r="C33" s="86"/>
    </row>
  </sheetData>
  <sortState xmlns:xlrd2="http://schemas.microsoft.com/office/spreadsheetml/2017/richdata2" ref="A2:F33">
    <sortCondition ref="C2:C33"/>
    <sortCondition ref="A2:A3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1E3B6-9616-466B-B38C-BD48994D8318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16384" width="9.140625" style="78"/>
  </cols>
  <sheetData>
    <row r="1" spans="1:8" x14ac:dyDescent="0.25">
      <c r="A1" s="78">
        <v>15</v>
      </c>
      <c r="B1" s="78">
        <v>18</v>
      </c>
      <c r="C1" s="78">
        <v>18</v>
      </c>
      <c r="D1" s="78">
        <v>17</v>
      </c>
      <c r="E1" s="78">
        <v>17</v>
      </c>
      <c r="F1" s="78">
        <v>16</v>
      </c>
      <c r="G1" s="78">
        <v>15</v>
      </c>
      <c r="H1" s="87"/>
    </row>
    <row r="2" spans="1:8" x14ac:dyDescent="0.25">
      <c r="A2" s="78">
        <v>15</v>
      </c>
      <c r="B2" s="78">
        <v>16</v>
      </c>
      <c r="C2" s="78">
        <v>17</v>
      </c>
      <c r="D2" s="78">
        <v>16</v>
      </c>
      <c r="E2" s="78">
        <v>17</v>
      </c>
      <c r="F2" s="78">
        <v>16</v>
      </c>
      <c r="G2" s="78">
        <v>15</v>
      </c>
      <c r="H2" s="87"/>
    </row>
    <row r="3" spans="1:8" x14ac:dyDescent="0.25">
      <c r="A3" s="78">
        <v>15</v>
      </c>
      <c r="B3" s="78">
        <v>15</v>
      </c>
      <c r="C3" s="78">
        <v>17</v>
      </c>
      <c r="D3" s="78">
        <v>15</v>
      </c>
      <c r="E3" s="78">
        <v>17</v>
      </c>
      <c r="F3" s="78">
        <v>15</v>
      </c>
      <c r="G3" s="78">
        <v>14</v>
      </c>
      <c r="H3" s="87"/>
    </row>
    <row r="4" spans="1:8" x14ac:dyDescent="0.25">
      <c r="A4" s="78">
        <v>15</v>
      </c>
      <c r="B4" s="78">
        <v>15</v>
      </c>
      <c r="C4" s="78">
        <v>17</v>
      </c>
      <c r="D4" s="78">
        <v>15</v>
      </c>
      <c r="E4" s="78">
        <v>15</v>
      </c>
      <c r="F4" s="78">
        <v>15</v>
      </c>
      <c r="G4" s="78">
        <v>14</v>
      </c>
      <c r="H4" s="87"/>
    </row>
    <row r="5" spans="1:8" x14ac:dyDescent="0.25">
      <c r="A5" s="78">
        <v>14</v>
      </c>
      <c r="B5" s="78">
        <v>15</v>
      </c>
      <c r="C5" s="78">
        <v>15</v>
      </c>
      <c r="D5" s="78">
        <v>15</v>
      </c>
      <c r="E5" s="78">
        <v>15</v>
      </c>
      <c r="F5" s="78">
        <v>15</v>
      </c>
      <c r="G5" s="78">
        <v>14</v>
      </c>
      <c r="H5" s="87"/>
    </row>
    <row r="6" spans="1:8" x14ac:dyDescent="0.25">
      <c r="A6" s="78">
        <v>14</v>
      </c>
      <c r="B6" s="78">
        <v>15</v>
      </c>
      <c r="C6" s="78">
        <v>15</v>
      </c>
      <c r="D6" s="78">
        <v>15</v>
      </c>
      <c r="E6" s="78">
        <v>13</v>
      </c>
      <c r="F6" s="78">
        <v>15</v>
      </c>
      <c r="G6" s="78">
        <v>13</v>
      </c>
      <c r="H6" s="87"/>
    </row>
    <row r="7" spans="1:8" x14ac:dyDescent="0.25">
      <c r="A7" s="78">
        <v>14</v>
      </c>
      <c r="B7" s="78">
        <v>15</v>
      </c>
      <c r="C7" s="78">
        <v>15</v>
      </c>
      <c r="D7" s="78">
        <v>15</v>
      </c>
      <c r="E7" s="78">
        <v>13</v>
      </c>
      <c r="F7" s="78">
        <v>15</v>
      </c>
      <c r="G7" s="78">
        <v>13</v>
      </c>
      <c r="H7" s="87"/>
    </row>
    <row r="8" spans="1:8" x14ac:dyDescent="0.25">
      <c r="A8" s="78">
        <v>13</v>
      </c>
      <c r="B8" s="78">
        <v>15</v>
      </c>
      <c r="C8" s="78">
        <v>14</v>
      </c>
      <c r="D8" s="78">
        <v>15</v>
      </c>
      <c r="E8" s="78">
        <v>13</v>
      </c>
      <c r="F8" s="78">
        <v>15</v>
      </c>
      <c r="G8" s="78">
        <v>13</v>
      </c>
      <c r="H8" s="87"/>
    </row>
    <row r="9" spans="1:8" x14ac:dyDescent="0.25">
      <c r="A9" s="78">
        <v>12</v>
      </c>
      <c r="B9" s="78">
        <v>14</v>
      </c>
      <c r="C9" s="78">
        <v>14</v>
      </c>
      <c r="D9" s="78">
        <v>14</v>
      </c>
      <c r="E9" s="78">
        <v>12</v>
      </c>
      <c r="F9" s="78">
        <v>15</v>
      </c>
      <c r="G9" s="78">
        <v>13</v>
      </c>
      <c r="H9" s="87"/>
    </row>
    <row r="10" spans="1:8" x14ac:dyDescent="0.25">
      <c r="A10" s="78">
        <v>12</v>
      </c>
      <c r="B10" s="78">
        <v>14</v>
      </c>
      <c r="C10" s="78">
        <v>14</v>
      </c>
      <c r="D10" s="78">
        <v>14</v>
      </c>
      <c r="E10" s="78">
        <v>12</v>
      </c>
      <c r="F10" s="78">
        <v>14</v>
      </c>
      <c r="G10" s="78">
        <v>13</v>
      </c>
      <c r="H10" s="87"/>
    </row>
    <row r="11" spans="1:8" x14ac:dyDescent="0.25">
      <c r="A11" s="78">
        <v>11</v>
      </c>
      <c r="B11" s="78">
        <v>13</v>
      </c>
      <c r="C11" s="78">
        <v>13</v>
      </c>
      <c r="D11" s="78">
        <v>14</v>
      </c>
      <c r="E11" s="78">
        <v>12</v>
      </c>
      <c r="F11" s="78">
        <v>14</v>
      </c>
      <c r="G11" s="78">
        <v>13</v>
      </c>
      <c r="H11" s="87"/>
    </row>
    <row r="12" spans="1:8" x14ac:dyDescent="0.25">
      <c r="A12" s="78">
        <v>11</v>
      </c>
      <c r="B12" s="78">
        <v>13</v>
      </c>
      <c r="C12" s="78">
        <v>13</v>
      </c>
      <c r="D12" s="78">
        <v>14</v>
      </c>
      <c r="E12" s="78">
        <v>12</v>
      </c>
      <c r="F12" s="78">
        <v>14</v>
      </c>
      <c r="G12" s="78">
        <v>13</v>
      </c>
      <c r="H12" s="87"/>
    </row>
    <row r="13" spans="1:8" x14ac:dyDescent="0.25">
      <c r="A13" s="78">
        <v>11</v>
      </c>
      <c r="B13" s="78">
        <v>13</v>
      </c>
      <c r="C13" s="78">
        <v>13</v>
      </c>
      <c r="D13" s="78">
        <v>14</v>
      </c>
      <c r="E13" s="78">
        <v>12</v>
      </c>
      <c r="F13" s="78">
        <v>13</v>
      </c>
      <c r="G13" s="78">
        <v>13</v>
      </c>
      <c r="H13" s="87"/>
    </row>
    <row r="14" spans="1:8" x14ac:dyDescent="0.25">
      <c r="A14" s="78">
        <v>11</v>
      </c>
      <c r="B14" s="78">
        <v>13</v>
      </c>
      <c r="C14" s="78">
        <v>13</v>
      </c>
      <c r="D14" s="78">
        <v>14</v>
      </c>
      <c r="E14" s="78">
        <v>12</v>
      </c>
      <c r="F14" s="78">
        <v>13</v>
      </c>
      <c r="G14" s="78">
        <v>13</v>
      </c>
      <c r="H14" s="87"/>
    </row>
    <row r="15" spans="1:8" x14ac:dyDescent="0.25">
      <c r="A15" s="78">
        <v>11</v>
      </c>
      <c r="B15" s="78">
        <v>13</v>
      </c>
      <c r="C15" s="78">
        <v>13</v>
      </c>
      <c r="D15" s="78">
        <v>14</v>
      </c>
      <c r="E15" s="78">
        <v>12</v>
      </c>
      <c r="F15" s="78">
        <v>13</v>
      </c>
      <c r="G15" s="78">
        <v>13</v>
      </c>
      <c r="H15" s="87"/>
    </row>
    <row r="16" spans="1:8" x14ac:dyDescent="0.25">
      <c r="A16" s="78">
        <v>11</v>
      </c>
      <c r="B16" s="78">
        <v>13</v>
      </c>
      <c r="C16" s="78">
        <v>12</v>
      </c>
      <c r="D16" s="78">
        <v>13</v>
      </c>
      <c r="E16" s="78">
        <v>12</v>
      </c>
      <c r="F16" s="78">
        <v>13</v>
      </c>
      <c r="G16" s="78">
        <v>13</v>
      </c>
      <c r="H16" s="87"/>
    </row>
    <row r="17" spans="1:8" x14ac:dyDescent="0.25">
      <c r="A17" s="78">
        <v>11</v>
      </c>
      <c r="B17" s="78">
        <v>13</v>
      </c>
      <c r="C17" s="78">
        <v>12</v>
      </c>
      <c r="D17" s="78">
        <v>13</v>
      </c>
      <c r="E17" s="78">
        <v>12</v>
      </c>
      <c r="F17" s="78">
        <v>13</v>
      </c>
      <c r="G17" s="78">
        <v>13</v>
      </c>
      <c r="H17" s="87"/>
    </row>
    <row r="18" spans="1:8" x14ac:dyDescent="0.25">
      <c r="A18" s="78">
        <v>11</v>
      </c>
      <c r="B18" s="78">
        <v>13</v>
      </c>
      <c r="C18" s="78">
        <v>12</v>
      </c>
      <c r="D18" s="78">
        <v>13</v>
      </c>
      <c r="E18" s="78">
        <v>12</v>
      </c>
      <c r="F18" s="78">
        <v>13</v>
      </c>
      <c r="G18" s="78">
        <v>13</v>
      </c>
      <c r="H18" s="87"/>
    </row>
    <row r="19" spans="1:8" x14ac:dyDescent="0.25">
      <c r="A19" s="78">
        <v>11</v>
      </c>
      <c r="B19" s="78">
        <v>12</v>
      </c>
      <c r="C19" s="78">
        <v>12</v>
      </c>
      <c r="D19" s="78">
        <v>13</v>
      </c>
      <c r="E19" s="78">
        <v>12</v>
      </c>
      <c r="F19" s="78">
        <v>13</v>
      </c>
      <c r="G19" s="78">
        <v>13</v>
      </c>
      <c r="H19" s="87"/>
    </row>
    <row r="20" spans="1:8" x14ac:dyDescent="0.25">
      <c r="A20" s="78">
        <v>10</v>
      </c>
      <c r="B20" s="78">
        <v>12</v>
      </c>
      <c r="C20" s="78">
        <v>12</v>
      </c>
      <c r="D20" s="78">
        <v>13</v>
      </c>
      <c r="E20" s="78">
        <v>12</v>
      </c>
      <c r="F20" s="78">
        <v>12</v>
      </c>
      <c r="G20" s="78">
        <v>13</v>
      </c>
      <c r="H20" s="87"/>
    </row>
    <row r="21" spans="1:8" x14ac:dyDescent="0.25">
      <c r="A21" s="78">
        <v>10</v>
      </c>
      <c r="B21" s="78">
        <v>12</v>
      </c>
      <c r="C21" s="78">
        <v>12</v>
      </c>
      <c r="D21" s="78">
        <v>13</v>
      </c>
      <c r="E21" s="78">
        <v>11</v>
      </c>
      <c r="F21" s="78">
        <v>12</v>
      </c>
      <c r="G21" s="78">
        <v>13</v>
      </c>
      <c r="H21" s="87"/>
    </row>
    <row r="22" spans="1:8" x14ac:dyDescent="0.25">
      <c r="A22" s="78">
        <v>10</v>
      </c>
      <c r="B22" s="78">
        <v>12</v>
      </c>
      <c r="C22" s="78">
        <v>11</v>
      </c>
      <c r="D22" s="78">
        <v>12</v>
      </c>
      <c r="E22" s="78">
        <v>11</v>
      </c>
      <c r="F22" s="78">
        <v>12</v>
      </c>
      <c r="G22" s="78">
        <v>13</v>
      </c>
      <c r="H22" s="87"/>
    </row>
    <row r="23" spans="1:8" x14ac:dyDescent="0.25">
      <c r="A23" s="78">
        <v>10</v>
      </c>
      <c r="B23" s="78">
        <v>12</v>
      </c>
      <c r="C23" s="78">
        <v>11</v>
      </c>
      <c r="D23" s="78">
        <v>12</v>
      </c>
      <c r="E23" s="78">
        <v>11</v>
      </c>
      <c r="F23" s="78">
        <v>12</v>
      </c>
      <c r="G23" s="78">
        <v>13</v>
      </c>
      <c r="H23" s="87"/>
    </row>
    <row r="24" spans="1:8" x14ac:dyDescent="0.25">
      <c r="A24" s="78">
        <v>10</v>
      </c>
      <c r="B24" s="78">
        <v>12</v>
      </c>
      <c r="C24" s="78">
        <v>11</v>
      </c>
      <c r="D24" s="78">
        <v>12</v>
      </c>
      <c r="E24" s="78">
        <v>11</v>
      </c>
      <c r="F24" s="78">
        <v>12</v>
      </c>
      <c r="G24" s="78">
        <v>12</v>
      </c>
      <c r="H24" s="87"/>
    </row>
    <row r="25" spans="1:8" x14ac:dyDescent="0.25">
      <c r="A25" s="78">
        <v>10</v>
      </c>
      <c r="B25" s="78">
        <v>11</v>
      </c>
      <c r="C25" s="78">
        <v>11</v>
      </c>
      <c r="D25" s="78">
        <v>12</v>
      </c>
      <c r="E25" s="78">
        <v>11</v>
      </c>
      <c r="F25" s="78">
        <v>12</v>
      </c>
      <c r="G25" s="78">
        <v>12</v>
      </c>
      <c r="H25" s="87"/>
    </row>
    <row r="26" spans="1:8" x14ac:dyDescent="0.25">
      <c r="A26" s="78">
        <v>10</v>
      </c>
      <c r="B26" s="78">
        <v>11</v>
      </c>
      <c r="C26" s="78">
        <v>11</v>
      </c>
      <c r="D26" s="78">
        <v>12</v>
      </c>
      <c r="E26" s="78">
        <v>11</v>
      </c>
      <c r="F26" s="78">
        <v>11</v>
      </c>
      <c r="G26" s="78">
        <v>12</v>
      </c>
      <c r="H26" s="87"/>
    </row>
    <row r="27" spans="1:8" x14ac:dyDescent="0.25">
      <c r="A27" s="78">
        <v>10</v>
      </c>
      <c r="B27" s="78">
        <v>11</v>
      </c>
      <c r="C27" s="78">
        <v>11</v>
      </c>
      <c r="D27" s="78">
        <v>12</v>
      </c>
      <c r="E27" s="78">
        <v>11</v>
      </c>
      <c r="F27" s="78">
        <v>11</v>
      </c>
      <c r="G27" s="78">
        <v>12</v>
      </c>
      <c r="H27" s="87"/>
    </row>
    <row r="28" spans="1:8" x14ac:dyDescent="0.25">
      <c r="A28" s="78">
        <v>10</v>
      </c>
      <c r="B28" s="78">
        <v>9</v>
      </c>
      <c r="C28" s="78">
        <v>11</v>
      </c>
      <c r="D28" s="78">
        <v>12</v>
      </c>
      <c r="E28" s="78">
        <v>11</v>
      </c>
      <c r="F28" s="78">
        <v>11</v>
      </c>
      <c r="G28" s="78">
        <v>12</v>
      </c>
      <c r="H28" s="87"/>
    </row>
    <row r="29" spans="1:8" x14ac:dyDescent="0.25">
      <c r="A29" s="78">
        <v>10</v>
      </c>
      <c r="B29" s="78">
        <v>8</v>
      </c>
      <c r="C29" s="78">
        <v>11</v>
      </c>
      <c r="D29" s="78">
        <v>11</v>
      </c>
      <c r="E29" s="78">
        <v>11</v>
      </c>
      <c r="F29" s="78">
        <v>10</v>
      </c>
      <c r="G29" s="78">
        <v>12</v>
      </c>
      <c r="H29" s="87"/>
    </row>
    <row r="30" spans="1:8" x14ac:dyDescent="0.25">
      <c r="A30" s="78">
        <v>10</v>
      </c>
      <c r="B30" s="78">
        <v>7</v>
      </c>
      <c r="C30" s="78">
        <v>10</v>
      </c>
      <c r="D30" s="78">
        <v>10</v>
      </c>
      <c r="E30" s="78">
        <v>8</v>
      </c>
      <c r="F30" s="78">
        <v>10</v>
      </c>
      <c r="G30" s="78">
        <v>9</v>
      </c>
      <c r="H30" s="87"/>
    </row>
    <row r="31" spans="1:8" ht="15.75" thickBot="1" x14ac:dyDescent="0.3">
      <c r="A31" s="87"/>
      <c r="B31" s="87"/>
      <c r="C31" s="87"/>
      <c r="D31" s="87"/>
      <c r="E31" s="87"/>
      <c r="F31" s="87"/>
      <c r="G31" s="87"/>
      <c r="H31" s="87"/>
    </row>
    <row r="32" spans="1:8" ht="15.75" thickBot="1" x14ac:dyDescent="0.3">
      <c r="A32" s="95" t="s">
        <v>74</v>
      </c>
      <c r="B32" s="96"/>
      <c r="C32" s="96"/>
      <c r="D32" s="96"/>
      <c r="E32" s="96"/>
      <c r="F32" s="96"/>
      <c r="G32" s="96"/>
      <c r="H32" s="97"/>
    </row>
  </sheetData>
  <mergeCells count="1">
    <mergeCell ref="A32:H3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67D6F-05AA-42C5-8EB4-3439484454C4}">
  <dimension ref="A1:AI47"/>
  <sheetViews>
    <sheetView workbookViewId="0">
      <selection activeCell="E30" sqref="E30"/>
    </sheetView>
  </sheetViews>
  <sheetFormatPr defaultColWidth="9.140625" defaultRowHeight="15" x14ac:dyDescent="0.25"/>
  <cols>
    <col min="1" max="1" width="9.140625" style="4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16384" width="9.140625" style="4"/>
  </cols>
  <sheetData>
    <row r="1" spans="1:35" s="2" customFormat="1" ht="15.75" thickBot="1" x14ac:dyDescent="0.3">
      <c r="B1" s="10" t="s">
        <v>0</v>
      </c>
      <c r="C1" s="1" t="s">
        <v>33</v>
      </c>
      <c r="D1" s="2" t="s">
        <v>32</v>
      </c>
      <c r="E1" s="3" t="s">
        <v>31</v>
      </c>
      <c r="F1" s="1" t="s">
        <v>33</v>
      </c>
      <c r="G1" s="2" t="s">
        <v>32</v>
      </c>
      <c r="H1" s="3" t="s">
        <v>31</v>
      </c>
      <c r="I1" s="1" t="s">
        <v>33</v>
      </c>
      <c r="J1" s="2" t="s">
        <v>32</v>
      </c>
      <c r="K1" s="3" t="s">
        <v>31</v>
      </c>
      <c r="L1" s="1" t="s">
        <v>33</v>
      </c>
      <c r="M1" s="2" t="s">
        <v>32</v>
      </c>
      <c r="N1" s="3" t="s">
        <v>31</v>
      </c>
      <c r="O1" s="1" t="s">
        <v>33</v>
      </c>
      <c r="P1" s="2" t="s">
        <v>32</v>
      </c>
      <c r="Q1" s="3" t="s">
        <v>31</v>
      </c>
      <c r="R1" s="1" t="s">
        <v>33</v>
      </c>
      <c r="S1" s="2" t="s">
        <v>32</v>
      </c>
      <c r="T1" s="3" t="s">
        <v>31</v>
      </c>
      <c r="U1" s="1" t="s">
        <v>33</v>
      </c>
      <c r="V1" s="2" t="s">
        <v>32</v>
      </c>
      <c r="W1" s="3" t="s">
        <v>31</v>
      </c>
      <c r="X1" s="1" t="s">
        <v>33</v>
      </c>
      <c r="Y1" s="2" t="s">
        <v>32</v>
      </c>
      <c r="Z1" s="3" t="s">
        <v>31</v>
      </c>
      <c r="AA1" s="1" t="s">
        <v>33</v>
      </c>
      <c r="AB1" s="2" t="s">
        <v>32</v>
      </c>
      <c r="AC1" s="3" t="s">
        <v>31</v>
      </c>
      <c r="AD1" s="23"/>
      <c r="AE1" s="23"/>
      <c r="AF1" s="23"/>
      <c r="AG1" s="23"/>
      <c r="AH1" s="23"/>
      <c r="AI1" s="23"/>
    </row>
    <row r="2" spans="1:35" ht="15.75" thickBot="1" x14ac:dyDescent="0.3">
      <c r="A2" s="4">
        <v>16</v>
      </c>
      <c r="B2" s="27" t="s">
        <v>1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thickBot="1" x14ac:dyDescent="0.3">
      <c r="A3" s="4">
        <v>15</v>
      </c>
      <c r="B3" s="27" t="s">
        <v>2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thickBot="1" x14ac:dyDescent="0.3">
      <c r="A4" s="4">
        <v>15</v>
      </c>
      <c r="B4" s="33" t="s">
        <v>3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thickBot="1" x14ac:dyDescent="0.3">
      <c r="A5" s="4">
        <v>13</v>
      </c>
      <c r="B5" s="11" t="s">
        <v>4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thickBot="1" x14ac:dyDescent="0.3">
      <c r="A6" s="4">
        <v>12</v>
      </c>
      <c r="B6" s="25" t="s">
        <v>5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thickBot="1" x14ac:dyDescent="0.3">
      <c r="A7" s="15" t="s">
        <v>34</v>
      </c>
      <c r="B7" s="33" t="s">
        <v>6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thickBot="1" x14ac:dyDescent="0.3">
      <c r="A8" s="4">
        <v>12</v>
      </c>
      <c r="B8" s="33" t="s">
        <v>7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thickBot="1" x14ac:dyDescent="0.3">
      <c r="A9" s="4">
        <v>12</v>
      </c>
      <c r="B9" s="11" t="s">
        <v>8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thickBot="1" x14ac:dyDescent="0.3">
      <c r="A10" s="4">
        <v>12</v>
      </c>
      <c r="B10" s="26" t="s">
        <v>9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thickBot="1" x14ac:dyDescent="0.3">
      <c r="A11" s="4">
        <v>12</v>
      </c>
      <c r="B11" s="11" t="s">
        <v>10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thickBot="1" x14ac:dyDescent="0.3">
      <c r="A12" s="4" t="s">
        <v>35</v>
      </c>
      <c r="B12" s="11" t="s">
        <v>11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thickBot="1" x14ac:dyDescent="0.3">
      <c r="A13" s="4">
        <v>12</v>
      </c>
      <c r="B13" s="25" t="s">
        <v>12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thickBot="1" x14ac:dyDescent="0.3">
      <c r="A14" s="4">
        <v>11</v>
      </c>
      <c r="B14" s="11" t="s">
        <v>13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thickBot="1" x14ac:dyDescent="0.3">
      <c r="A15" s="4">
        <v>12</v>
      </c>
      <c r="B15" s="26" t="s">
        <v>14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thickBot="1" x14ac:dyDescent="0.3">
      <c r="A16" s="4">
        <v>11</v>
      </c>
      <c r="B16" s="11" t="s">
        <v>15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thickBot="1" x14ac:dyDescent="0.3">
      <c r="A17" s="4">
        <v>11</v>
      </c>
      <c r="B17" s="26" t="s">
        <v>16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thickBot="1" x14ac:dyDescent="0.3">
      <c r="A18" s="4">
        <v>11</v>
      </c>
      <c r="B18" s="11" t="s">
        <v>17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thickBot="1" x14ac:dyDescent="0.3">
      <c r="A19" s="4">
        <v>11</v>
      </c>
      <c r="B19" s="11" t="s">
        <v>18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thickBot="1" x14ac:dyDescent="0.3">
      <c r="A20" s="4">
        <v>11</v>
      </c>
      <c r="B20" s="27" t="s">
        <v>19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thickBot="1" x14ac:dyDescent="0.3">
      <c r="A21" s="4">
        <v>11</v>
      </c>
      <c r="B21" s="27" t="s">
        <v>20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thickBot="1" x14ac:dyDescent="0.3">
      <c r="A22" s="4">
        <v>11</v>
      </c>
      <c r="B22" s="11" t="s">
        <v>21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thickBot="1" x14ac:dyDescent="0.3">
      <c r="A23" s="4">
        <v>11</v>
      </c>
      <c r="B23" s="33" t="s">
        <v>22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thickBot="1" x14ac:dyDescent="0.3">
      <c r="A24" s="4">
        <v>11</v>
      </c>
      <c r="B24" s="11" t="s">
        <v>23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thickBot="1" x14ac:dyDescent="0.3">
      <c r="A25" s="4">
        <v>11</v>
      </c>
      <c r="B25" s="25" t="s">
        <v>24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thickBot="1" x14ac:dyDescent="0.3">
      <c r="A26" s="4">
        <v>11</v>
      </c>
      <c r="B26" s="26" t="s">
        <v>25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thickBot="1" x14ac:dyDescent="0.3">
      <c r="A27" s="4">
        <v>11</v>
      </c>
      <c r="B27" s="11" t="s">
        <v>26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thickBot="1" x14ac:dyDescent="0.3">
      <c r="A28" s="4">
        <v>11</v>
      </c>
      <c r="B28" s="25" t="s">
        <v>27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thickBot="1" x14ac:dyDescent="0.3">
      <c r="A29" s="4">
        <v>11</v>
      </c>
      <c r="B29" s="33" t="s">
        <v>28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thickBot="1" x14ac:dyDescent="0.3">
      <c r="A30" s="4">
        <v>11</v>
      </c>
      <c r="B30" s="11" t="s">
        <v>29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thickBot="1" x14ac:dyDescent="0.3">
      <c r="A31" s="4" t="s">
        <v>36</v>
      </c>
      <c r="B31" s="11" t="s">
        <v>30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thickBot="1" x14ac:dyDescent="0.3">
      <c r="A34" s="29"/>
      <c r="B34" s="28" t="s">
        <v>37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thickBot="1" x14ac:dyDescent="0.3">
      <c r="A35" s="30"/>
      <c r="B35" s="28" t="s">
        <v>38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thickBot="1" x14ac:dyDescent="0.3">
      <c r="A36" s="18"/>
      <c r="B36" s="28" t="s">
        <v>39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thickBot="1" x14ac:dyDescent="0.3">
      <c r="A37" s="31"/>
      <c r="B37" s="28" t="s">
        <v>40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  <ignoredErrors>
    <ignoredError sqref="A7" twoDigitTextYear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D0103-8B83-425B-8825-6ADA101A7570}">
  <dimension ref="A1:AC43"/>
  <sheetViews>
    <sheetView topLeftCell="B1" workbookViewId="0">
      <selection activeCell="Y21" sqref="Y21"/>
    </sheetView>
  </sheetViews>
  <sheetFormatPr defaultColWidth="9.140625" defaultRowHeight="15" outlineLevelRow="1" outlineLevelCol="1" x14ac:dyDescent="0.25"/>
  <cols>
    <col min="1" max="1" width="9.140625" style="49"/>
    <col min="2" max="2" width="22" style="49" customWidth="1"/>
    <col min="3" max="20" width="9.140625" style="49" customWidth="1" outlineLevel="1"/>
    <col min="21" max="21" width="9.140625" style="50" customWidth="1"/>
    <col min="22" max="22" width="9.140625" style="49" customWidth="1"/>
    <col min="23" max="23" width="9.140625" style="51" customWidth="1"/>
    <col min="24" max="16384" width="9.140625" style="49"/>
  </cols>
  <sheetData>
    <row r="1" spans="1:23" ht="15.75" thickBot="1" x14ac:dyDescent="0.3">
      <c r="B1" s="71"/>
      <c r="C1" s="98">
        <v>1</v>
      </c>
      <c r="D1" s="99"/>
      <c r="E1" s="100"/>
      <c r="F1" s="98">
        <v>2</v>
      </c>
      <c r="G1" s="99"/>
      <c r="H1" s="100"/>
      <c r="I1" s="98">
        <v>3</v>
      </c>
      <c r="J1" s="99"/>
      <c r="K1" s="100"/>
      <c r="L1" s="98">
        <v>4</v>
      </c>
      <c r="M1" s="99"/>
      <c r="N1" s="100"/>
      <c r="O1" s="98">
        <v>5</v>
      </c>
      <c r="P1" s="99"/>
      <c r="Q1" s="100"/>
      <c r="R1" s="98">
        <v>6</v>
      </c>
      <c r="S1" s="99"/>
      <c r="T1" s="100"/>
      <c r="U1" s="98">
        <v>7</v>
      </c>
      <c r="V1" s="99"/>
      <c r="W1" s="100"/>
    </row>
    <row r="2" spans="1:23" ht="15.75" thickBot="1" x14ac:dyDescent="0.3">
      <c r="A2" s="46"/>
      <c r="B2" s="47" t="s">
        <v>0</v>
      </c>
      <c r="C2" s="47" t="s">
        <v>33</v>
      </c>
      <c r="D2" s="46" t="s">
        <v>32</v>
      </c>
      <c r="E2" s="48" t="s">
        <v>31</v>
      </c>
      <c r="F2" s="47" t="s">
        <v>33</v>
      </c>
      <c r="G2" s="46" t="s">
        <v>32</v>
      </c>
      <c r="H2" s="48" t="s">
        <v>31</v>
      </c>
      <c r="I2" s="47" t="s">
        <v>33</v>
      </c>
      <c r="J2" s="46" t="s">
        <v>32</v>
      </c>
      <c r="K2" s="48" t="s">
        <v>31</v>
      </c>
      <c r="L2" s="47" t="s">
        <v>33</v>
      </c>
      <c r="M2" s="46" t="s">
        <v>32</v>
      </c>
      <c r="N2" s="48" t="s">
        <v>31</v>
      </c>
      <c r="O2" s="47" t="s">
        <v>33</v>
      </c>
      <c r="P2" s="46" t="s">
        <v>32</v>
      </c>
      <c r="Q2" s="48" t="s">
        <v>31</v>
      </c>
      <c r="R2" s="47" t="s">
        <v>33</v>
      </c>
      <c r="S2" s="46" t="s">
        <v>32</v>
      </c>
      <c r="T2" s="46" t="s">
        <v>31</v>
      </c>
      <c r="U2" s="47" t="s">
        <v>33</v>
      </c>
      <c r="V2" s="46" t="s">
        <v>32</v>
      </c>
      <c r="W2" s="48" t="s">
        <v>31</v>
      </c>
    </row>
    <row r="3" spans="1:23" x14ac:dyDescent="0.25">
      <c r="A3" s="49">
        <v>16</v>
      </c>
      <c r="B3" s="49" t="s">
        <v>1</v>
      </c>
      <c r="C3" s="50"/>
      <c r="D3" s="49">
        <f>avv!A1-A3</f>
        <v>-1</v>
      </c>
      <c r="E3" s="64">
        <v>3</v>
      </c>
      <c r="F3" s="50"/>
      <c r="G3" s="49">
        <f>avv!B1-A3</f>
        <v>2</v>
      </c>
      <c r="H3" s="51">
        <v>3</v>
      </c>
      <c r="I3" s="50"/>
      <c r="J3" s="49">
        <f>avv!C1-A3</f>
        <v>2</v>
      </c>
      <c r="K3" s="51">
        <v>2</v>
      </c>
      <c r="L3" s="50"/>
      <c r="M3" s="49">
        <f>avv!D1-A3</f>
        <v>1</v>
      </c>
      <c r="N3" s="51">
        <v>3</v>
      </c>
      <c r="O3" s="50"/>
      <c r="P3" s="49">
        <f>avv!E1-A3</f>
        <v>1</v>
      </c>
      <c r="Q3" s="51">
        <v>3</v>
      </c>
      <c r="R3" s="50"/>
      <c r="S3" s="49">
        <f>avv!F1-A3</f>
        <v>0</v>
      </c>
      <c r="T3" s="49">
        <v>3</v>
      </c>
      <c r="V3" s="49">
        <f>avv!G1-A3</f>
        <v>-1</v>
      </c>
      <c r="W3" s="51">
        <v>3</v>
      </c>
    </row>
    <row r="4" spans="1:23" x14ac:dyDescent="0.25">
      <c r="A4" s="49">
        <v>15</v>
      </c>
      <c r="B4" s="65" t="s">
        <v>55</v>
      </c>
      <c r="C4" s="50"/>
      <c r="D4" s="49">
        <f>avv!A2-A4</f>
        <v>0</v>
      </c>
      <c r="E4" s="64">
        <v>3</v>
      </c>
      <c r="F4" s="50"/>
      <c r="G4" s="49">
        <f>avv!B2-A4</f>
        <v>1</v>
      </c>
      <c r="H4" s="51">
        <v>2</v>
      </c>
      <c r="I4" s="50"/>
      <c r="K4" s="74"/>
      <c r="L4" s="50"/>
      <c r="M4" s="65"/>
      <c r="N4" s="51"/>
      <c r="O4" s="50"/>
      <c r="P4" s="49">
        <f>avv!E2-A4</f>
        <v>2</v>
      </c>
      <c r="Q4" s="51">
        <v>2</v>
      </c>
      <c r="R4" s="50"/>
      <c r="S4" s="49">
        <f>avv!F2-A4</f>
        <v>1</v>
      </c>
      <c r="T4" s="49">
        <v>2</v>
      </c>
      <c r="V4" s="49">
        <f>avv!G2-A4</f>
        <v>0</v>
      </c>
      <c r="W4" s="51">
        <v>2</v>
      </c>
    </row>
    <row r="5" spans="1:23" x14ac:dyDescent="0.25">
      <c r="A5" s="49">
        <v>15</v>
      </c>
      <c r="B5" s="65" t="s">
        <v>3</v>
      </c>
      <c r="C5" s="50"/>
      <c r="D5" s="49">
        <f>avv!A3-A5</f>
        <v>0</v>
      </c>
      <c r="E5" s="64">
        <v>3</v>
      </c>
      <c r="F5" s="50"/>
      <c r="G5" s="49">
        <f>avv!B3-A5</f>
        <v>0</v>
      </c>
      <c r="H5" s="51">
        <v>3</v>
      </c>
      <c r="I5" s="50"/>
      <c r="K5" s="74"/>
      <c r="L5" s="50"/>
      <c r="M5" s="49">
        <f>avv!D3-A5</f>
        <v>0</v>
      </c>
      <c r="N5" s="51">
        <v>3</v>
      </c>
      <c r="O5" s="50"/>
      <c r="P5" s="49">
        <f>avv!E4-A5</f>
        <v>0</v>
      </c>
      <c r="Q5" s="51">
        <v>3</v>
      </c>
      <c r="R5" s="50"/>
      <c r="S5" s="49">
        <f>avv!F3-A5</f>
        <v>0</v>
      </c>
      <c r="T5" s="49">
        <v>1</v>
      </c>
      <c r="V5" s="49">
        <f>avv!G3-A5</f>
        <v>-1</v>
      </c>
      <c r="W5" s="51">
        <v>3</v>
      </c>
    </row>
    <row r="6" spans="1:23" x14ac:dyDescent="0.25">
      <c r="A6" s="49">
        <v>13</v>
      </c>
      <c r="B6" s="65" t="s">
        <v>44</v>
      </c>
      <c r="C6" s="63"/>
      <c r="D6" s="49">
        <f>avv!A4-A6</f>
        <v>2</v>
      </c>
      <c r="E6" s="64">
        <v>3</v>
      </c>
      <c r="F6" s="50"/>
      <c r="G6" s="65"/>
      <c r="H6" s="51"/>
      <c r="I6" s="50"/>
      <c r="J6" s="49">
        <f>avv!C4-A6</f>
        <v>4</v>
      </c>
      <c r="K6" s="51">
        <v>1</v>
      </c>
      <c r="L6" s="50"/>
      <c r="M6" s="49">
        <f>avv!D4-A6</f>
        <v>2</v>
      </c>
      <c r="N6" s="51">
        <v>1</v>
      </c>
      <c r="O6" s="50"/>
      <c r="P6" s="65"/>
      <c r="Q6" s="51"/>
      <c r="R6" s="50"/>
      <c r="S6" s="49">
        <f>avv!F4-A6</f>
        <v>2</v>
      </c>
      <c r="T6" s="49">
        <v>0</v>
      </c>
      <c r="V6" s="49">
        <f>avv!G4-A6</f>
        <v>1</v>
      </c>
      <c r="W6" s="51">
        <v>0</v>
      </c>
    </row>
    <row r="7" spans="1:23" x14ac:dyDescent="0.25">
      <c r="A7" s="49">
        <v>13</v>
      </c>
      <c r="B7" s="49" t="s">
        <v>6</v>
      </c>
      <c r="C7" s="50"/>
      <c r="D7" s="49">
        <f>avv!A7-A7</f>
        <v>1</v>
      </c>
      <c r="E7" s="64">
        <v>3</v>
      </c>
      <c r="F7" s="50"/>
      <c r="G7" s="49">
        <f>avv!B10-A7</f>
        <v>1</v>
      </c>
      <c r="H7" s="51">
        <v>3</v>
      </c>
      <c r="I7" s="63"/>
      <c r="J7" s="49">
        <f>avv!C7-A7</f>
        <v>2</v>
      </c>
      <c r="K7" s="51">
        <v>3</v>
      </c>
      <c r="L7" s="50"/>
      <c r="M7" s="49">
        <f>avv!D5-A7</f>
        <v>2</v>
      </c>
      <c r="N7" s="51">
        <v>3</v>
      </c>
      <c r="O7" s="50"/>
      <c r="P7" s="49">
        <f>avv!E5-A7</f>
        <v>2</v>
      </c>
      <c r="Q7" s="51">
        <v>3</v>
      </c>
      <c r="R7" s="50"/>
      <c r="S7" s="49">
        <f>avv!F22-A7</f>
        <v>-1</v>
      </c>
      <c r="T7" s="49">
        <v>3</v>
      </c>
      <c r="V7" s="49">
        <f>avv!G5-A7</f>
        <v>1</v>
      </c>
      <c r="W7" s="51">
        <v>3</v>
      </c>
    </row>
    <row r="8" spans="1:23" x14ac:dyDescent="0.25">
      <c r="A8" s="49">
        <v>13</v>
      </c>
      <c r="B8" s="60" t="s">
        <v>4</v>
      </c>
      <c r="C8" s="61">
        <v>-6</v>
      </c>
      <c r="D8" s="49">
        <f>avv!A12-A8</f>
        <v>-2</v>
      </c>
      <c r="E8" s="64">
        <v>3</v>
      </c>
      <c r="F8" s="50"/>
      <c r="G8" s="49">
        <f>avv!B7-A8</f>
        <v>2</v>
      </c>
      <c r="H8" s="51">
        <v>2</v>
      </c>
      <c r="I8" s="50"/>
      <c r="J8" s="49">
        <f>avv!C5-A8</f>
        <v>2</v>
      </c>
      <c r="K8" s="51">
        <v>1</v>
      </c>
      <c r="L8" s="50"/>
      <c r="M8" s="49">
        <f>avv!D6-A8</f>
        <v>2</v>
      </c>
      <c r="N8" s="51">
        <v>2</v>
      </c>
      <c r="O8" s="50"/>
      <c r="P8" s="49">
        <f>avv!E6-A8</f>
        <v>0</v>
      </c>
      <c r="Q8" s="51">
        <v>2</v>
      </c>
      <c r="R8" s="50"/>
      <c r="S8" s="49">
        <f>avv!F6-A8</f>
        <v>2</v>
      </c>
      <c r="T8" s="49">
        <v>1</v>
      </c>
      <c r="V8" s="49">
        <f>avv!G6-A8</f>
        <v>0</v>
      </c>
      <c r="W8" s="51">
        <v>1</v>
      </c>
    </row>
    <row r="9" spans="1:23" x14ac:dyDescent="0.25">
      <c r="A9" s="49">
        <v>13</v>
      </c>
      <c r="B9" s="65" t="s">
        <v>5</v>
      </c>
      <c r="C9" s="75"/>
      <c r="D9" s="76"/>
      <c r="E9" s="77"/>
      <c r="F9" s="75"/>
      <c r="G9" s="76"/>
      <c r="H9" s="77"/>
      <c r="I9" s="75"/>
      <c r="J9" s="76"/>
      <c r="K9" s="77"/>
      <c r="L9" s="50"/>
      <c r="M9" s="65"/>
      <c r="N9" s="51"/>
      <c r="O9" s="50"/>
      <c r="P9" s="65"/>
      <c r="Q9" s="51"/>
      <c r="R9" s="50"/>
      <c r="S9" s="65">
        <f>avv!F7-A9</f>
        <v>2</v>
      </c>
      <c r="V9" s="49">
        <f>avv!G7-A9</f>
        <v>0</v>
      </c>
    </row>
    <row r="10" spans="1:23" x14ac:dyDescent="0.25">
      <c r="A10" s="49">
        <v>13</v>
      </c>
      <c r="B10" s="49" t="s">
        <v>8</v>
      </c>
      <c r="C10" s="50"/>
      <c r="D10" s="49">
        <f>avv!A8-A10</f>
        <v>0</v>
      </c>
      <c r="E10" s="64">
        <v>2</v>
      </c>
      <c r="F10" s="50"/>
      <c r="G10" s="49">
        <f>avv!B8-A10</f>
        <v>2</v>
      </c>
      <c r="H10" s="51">
        <v>1</v>
      </c>
      <c r="I10" s="63"/>
      <c r="J10" s="49">
        <f>avv!C8-A10</f>
        <v>1</v>
      </c>
      <c r="K10" s="51">
        <v>3</v>
      </c>
      <c r="L10" s="50"/>
      <c r="M10" s="49">
        <f>avv!D8-A10</f>
        <v>2</v>
      </c>
      <c r="N10" s="51">
        <v>2</v>
      </c>
      <c r="O10" s="50"/>
      <c r="P10" s="49">
        <f>avv!E10-A10</f>
        <v>-1</v>
      </c>
      <c r="Q10" s="51">
        <v>3</v>
      </c>
      <c r="R10" s="50"/>
      <c r="S10" s="49">
        <f>avv!F8-A10</f>
        <v>2</v>
      </c>
      <c r="T10" s="49">
        <v>2</v>
      </c>
      <c r="V10" s="49">
        <f>avv!G8-A10</f>
        <v>0</v>
      </c>
      <c r="W10" s="51">
        <v>2</v>
      </c>
    </row>
    <row r="11" spans="1:23" x14ac:dyDescent="0.25">
      <c r="A11" s="49">
        <v>13</v>
      </c>
      <c r="B11" s="79" t="s">
        <v>7</v>
      </c>
      <c r="C11" s="50"/>
      <c r="D11" s="49">
        <f>avv!A9-A11</f>
        <v>-1</v>
      </c>
      <c r="E11" s="64">
        <v>3</v>
      </c>
      <c r="G11" s="49">
        <f>avv!B9-A11</f>
        <v>1</v>
      </c>
      <c r="H11" s="49">
        <v>2</v>
      </c>
      <c r="I11" s="50"/>
      <c r="J11" s="49">
        <f>avv!C9-A11</f>
        <v>1</v>
      </c>
      <c r="K11" s="51">
        <v>2</v>
      </c>
      <c r="L11" s="50"/>
      <c r="M11" s="49">
        <f>avv!D9-A11</f>
        <v>1</v>
      </c>
      <c r="N11" s="80">
        <v>1</v>
      </c>
      <c r="O11" s="50"/>
      <c r="P11" s="49">
        <f>avv!E9-A11</f>
        <v>-1</v>
      </c>
      <c r="Q11" s="51">
        <v>3</v>
      </c>
      <c r="R11" s="50"/>
      <c r="S11" s="49">
        <f>avv!F9-A11</f>
        <v>2</v>
      </c>
      <c r="T11" s="49">
        <v>2</v>
      </c>
      <c r="V11" s="49">
        <f>avv!G9-A11</f>
        <v>0</v>
      </c>
      <c r="W11" s="51">
        <v>3</v>
      </c>
    </row>
    <row r="12" spans="1:23" x14ac:dyDescent="0.25">
      <c r="A12" s="49">
        <v>13</v>
      </c>
      <c r="B12" s="65" t="s">
        <v>13</v>
      </c>
      <c r="C12" s="50"/>
      <c r="D12" s="49">
        <f>avv!A10-A12</f>
        <v>-1</v>
      </c>
      <c r="E12" s="62">
        <v>2</v>
      </c>
      <c r="F12" s="50"/>
      <c r="G12" s="65"/>
      <c r="H12" s="51"/>
      <c r="I12" s="50"/>
      <c r="K12" s="74"/>
      <c r="L12" s="50"/>
      <c r="M12" s="49">
        <f>avv!D28-A12</f>
        <v>-1</v>
      </c>
      <c r="N12" s="51">
        <v>3</v>
      </c>
      <c r="O12" s="50"/>
      <c r="P12" s="49">
        <f>avv!E10-A12</f>
        <v>-1</v>
      </c>
      <c r="Q12" s="51">
        <v>2</v>
      </c>
      <c r="R12" s="50"/>
      <c r="S12" s="49">
        <f>avv!F24-A12</f>
        <v>-1</v>
      </c>
      <c r="T12" s="49">
        <v>3</v>
      </c>
      <c r="V12" s="49">
        <f>avv!G10-A12</f>
        <v>0</v>
      </c>
    </row>
    <row r="13" spans="1:23" x14ac:dyDescent="0.25">
      <c r="A13" s="49">
        <v>12</v>
      </c>
      <c r="B13" s="79" t="s">
        <v>10</v>
      </c>
      <c r="C13" s="50"/>
      <c r="D13" s="49">
        <f>avv!A20-A13</f>
        <v>-2</v>
      </c>
      <c r="E13" s="64">
        <v>3</v>
      </c>
      <c r="F13" s="50"/>
      <c r="G13" s="49">
        <f>avv!B11-A13</f>
        <v>1</v>
      </c>
      <c r="H13" s="51">
        <v>2</v>
      </c>
      <c r="I13" s="50"/>
      <c r="J13" s="49">
        <f>avv!C11-A13</f>
        <v>1</v>
      </c>
      <c r="K13" s="80">
        <v>1</v>
      </c>
      <c r="L13" s="50"/>
      <c r="M13" s="49">
        <f>avv!D11-A13</f>
        <v>2</v>
      </c>
      <c r="N13" s="51">
        <v>2</v>
      </c>
      <c r="O13" s="50"/>
      <c r="P13" s="49">
        <f>avv!E12-A13</f>
        <v>0</v>
      </c>
      <c r="Q13" s="51">
        <v>3</v>
      </c>
      <c r="R13" s="50"/>
      <c r="S13" s="49">
        <f>avv!F11-A13</f>
        <v>2</v>
      </c>
      <c r="T13" s="49">
        <v>2</v>
      </c>
      <c r="V13" s="49">
        <f>avv!G11-A13</f>
        <v>1</v>
      </c>
      <c r="W13" s="51">
        <v>2</v>
      </c>
    </row>
    <row r="14" spans="1:23" x14ac:dyDescent="0.25">
      <c r="A14" s="49">
        <v>12</v>
      </c>
      <c r="B14" s="72" t="s">
        <v>12</v>
      </c>
      <c r="C14" s="50"/>
      <c r="D14" s="49">
        <f>avv!A6-A14</f>
        <v>2</v>
      </c>
      <c r="E14" s="64">
        <v>2</v>
      </c>
      <c r="F14" s="50"/>
      <c r="G14" s="49">
        <f>avv!B12-A14</f>
        <v>1</v>
      </c>
      <c r="H14" s="51">
        <v>2</v>
      </c>
      <c r="I14" s="63"/>
      <c r="J14" s="49">
        <f>avv!C12-A14</f>
        <v>1</v>
      </c>
      <c r="K14" s="51">
        <v>3</v>
      </c>
      <c r="L14" s="50"/>
      <c r="M14" s="49">
        <f>avv!D12-A14</f>
        <v>2</v>
      </c>
      <c r="N14" s="51">
        <v>2</v>
      </c>
      <c r="O14" s="50"/>
      <c r="P14" s="49">
        <f>avv!E13-A14</f>
        <v>0</v>
      </c>
      <c r="Q14" s="51">
        <v>3</v>
      </c>
      <c r="R14" s="50"/>
      <c r="S14" s="49">
        <f>avv!F12-A14</f>
        <v>2</v>
      </c>
      <c r="T14" s="49">
        <v>2</v>
      </c>
      <c r="V14" s="49">
        <f>avv!G12-A14</f>
        <v>1</v>
      </c>
      <c r="W14" s="51">
        <v>3</v>
      </c>
    </row>
    <row r="15" spans="1:23" x14ac:dyDescent="0.25">
      <c r="A15" s="49">
        <v>12</v>
      </c>
      <c r="B15" s="72" t="s">
        <v>9</v>
      </c>
      <c r="C15" s="50"/>
      <c r="D15" s="49">
        <f>avv!A13-A15</f>
        <v>-1</v>
      </c>
      <c r="E15" s="64">
        <v>3</v>
      </c>
      <c r="F15" s="63"/>
      <c r="G15" s="49">
        <f>avv!B13-A15</f>
        <v>1</v>
      </c>
      <c r="H15" s="51">
        <v>3</v>
      </c>
      <c r="I15" s="50"/>
      <c r="J15" s="49">
        <f>avv!C13-A15</f>
        <v>1</v>
      </c>
      <c r="K15" s="51">
        <v>2</v>
      </c>
      <c r="L15" s="50"/>
      <c r="M15" s="49">
        <f>avv!D13-A15</f>
        <v>2</v>
      </c>
      <c r="N15" s="51">
        <v>2</v>
      </c>
      <c r="O15" s="50"/>
      <c r="P15" s="49">
        <f>avv!E17-A15</f>
        <v>0</v>
      </c>
      <c r="Q15" s="51">
        <v>3</v>
      </c>
      <c r="R15" s="50"/>
      <c r="S15" s="49">
        <f>avv!F13-A15</f>
        <v>1</v>
      </c>
      <c r="T15" s="49">
        <v>1</v>
      </c>
      <c r="V15" s="49">
        <f>avv!G13-A15</f>
        <v>1</v>
      </c>
      <c r="W15" s="51">
        <v>2</v>
      </c>
    </row>
    <row r="16" spans="1:23" x14ac:dyDescent="0.25">
      <c r="A16" s="49">
        <v>13</v>
      </c>
      <c r="B16" s="70" t="s">
        <v>15</v>
      </c>
      <c r="C16" s="50"/>
      <c r="D16" s="49">
        <f>avv!A15-A16</f>
        <v>-2</v>
      </c>
      <c r="E16" s="64">
        <v>3</v>
      </c>
      <c r="F16" s="50"/>
      <c r="G16" s="49">
        <f>avv!B14-A16</f>
        <v>0</v>
      </c>
      <c r="H16" s="51">
        <v>3</v>
      </c>
      <c r="I16" s="50"/>
      <c r="J16" s="49">
        <f>avv!C15-A16</f>
        <v>0</v>
      </c>
      <c r="K16" s="62">
        <v>1</v>
      </c>
      <c r="L16" s="50"/>
      <c r="M16" s="49">
        <f>avv!D14-A16</f>
        <v>1</v>
      </c>
      <c r="N16" s="51">
        <v>1</v>
      </c>
      <c r="O16" s="50"/>
      <c r="P16" s="49">
        <f>avv!E14-A16</f>
        <v>-1</v>
      </c>
      <c r="Q16" s="62">
        <v>2</v>
      </c>
      <c r="R16" s="50"/>
      <c r="S16" s="49">
        <f>avv!F14-A16</f>
        <v>0</v>
      </c>
      <c r="T16" s="49">
        <v>2</v>
      </c>
      <c r="V16" s="49">
        <f>avv!G14-A16</f>
        <v>0</v>
      </c>
      <c r="W16" s="51">
        <v>1</v>
      </c>
    </row>
    <row r="17" spans="1:23" x14ac:dyDescent="0.25">
      <c r="A17" s="49">
        <v>12</v>
      </c>
      <c r="B17" s="49" t="s">
        <v>11</v>
      </c>
      <c r="C17" s="50"/>
      <c r="D17" s="49">
        <f>avv!A14-A17</f>
        <v>-1</v>
      </c>
      <c r="E17" s="64">
        <v>3</v>
      </c>
      <c r="F17" s="50"/>
      <c r="G17" s="49">
        <f>avv!B16-A17</f>
        <v>1</v>
      </c>
      <c r="H17" s="51">
        <v>3</v>
      </c>
      <c r="I17" s="50"/>
      <c r="J17" s="49">
        <f>avv!C14-A17</f>
        <v>1</v>
      </c>
      <c r="K17" s="51">
        <v>3</v>
      </c>
      <c r="L17" s="50"/>
      <c r="M17" s="49">
        <f>avv!D15-A17</f>
        <v>2</v>
      </c>
      <c r="N17" s="51">
        <v>2</v>
      </c>
      <c r="O17" s="50"/>
      <c r="P17" s="49">
        <f>avv!E15-A17</f>
        <v>0</v>
      </c>
      <c r="Q17" s="51">
        <v>3</v>
      </c>
      <c r="R17" s="50"/>
      <c r="S17" s="49">
        <f>avv!F15-A17</f>
        <v>1</v>
      </c>
      <c r="T17" s="49">
        <v>2</v>
      </c>
      <c r="V17" s="49">
        <f>avv!G15-A17</f>
        <v>1</v>
      </c>
      <c r="W17" s="51">
        <v>3</v>
      </c>
    </row>
    <row r="18" spans="1:23" x14ac:dyDescent="0.25">
      <c r="A18" s="49">
        <v>12</v>
      </c>
      <c r="B18" s="79" t="s">
        <v>48</v>
      </c>
      <c r="C18" s="50"/>
      <c r="D18" s="49">
        <f>avv!A16-A18</f>
        <v>-1</v>
      </c>
      <c r="E18" s="64">
        <v>3</v>
      </c>
      <c r="F18" s="50"/>
      <c r="G18" s="49">
        <f>avv!B17-A18</f>
        <v>1</v>
      </c>
      <c r="H18" s="51">
        <v>3</v>
      </c>
      <c r="I18" s="50"/>
      <c r="J18" s="49">
        <f>avv!C16-A18</f>
        <v>0</v>
      </c>
      <c r="K18" s="51">
        <v>3</v>
      </c>
      <c r="L18" s="50"/>
      <c r="M18" s="49">
        <f>avv!D16-A18</f>
        <v>1</v>
      </c>
      <c r="N18" s="51">
        <v>2</v>
      </c>
      <c r="O18" s="50"/>
      <c r="P18" s="49">
        <f>avv!E16-A18</f>
        <v>0</v>
      </c>
      <c r="Q18" s="51">
        <v>3</v>
      </c>
      <c r="R18" s="50"/>
      <c r="S18" s="49">
        <f>avv!F16-A18</f>
        <v>1</v>
      </c>
      <c r="T18" s="79">
        <v>1</v>
      </c>
      <c r="V18" s="49">
        <f>avv!G16-A18</f>
        <v>1</v>
      </c>
      <c r="W18" s="51">
        <v>1</v>
      </c>
    </row>
    <row r="19" spans="1:23" x14ac:dyDescent="0.25">
      <c r="A19" s="49">
        <v>12</v>
      </c>
      <c r="B19" s="73" t="s">
        <v>14</v>
      </c>
      <c r="C19" s="84"/>
      <c r="D19" s="73"/>
      <c r="E19" s="85"/>
      <c r="F19" s="84"/>
      <c r="G19" s="73"/>
      <c r="H19" s="85"/>
      <c r="I19" s="84"/>
      <c r="J19" s="73"/>
      <c r="K19" s="85"/>
      <c r="L19" s="84"/>
      <c r="M19" s="73"/>
      <c r="N19" s="85"/>
      <c r="O19" s="50"/>
      <c r="P19" s="49">
        <f>avv!E28-A19</f>
        <v>-1</v>
      </c>
      <c r="Q19" s="51">
        <v>1</v>
      </c>
      <c r="R19" s="50"/>
      <c r="S19" s="49">
        <f>avv!F28-A19</f>
        <v>-1</v>
      </c>
      <c r="T19" s="49">
        <v>1</v>
      </c>
      <c r="V19" s="49">
        <f>avv!G17-A19</f>
        <v>1</v>
      </c>
      <c r="W19" s="51">
        <v>1</v>
      </c>
    </row>
    <row r="20" spans="1:23" x14ac:dyDescent="0.25">
      <c r="A20" s="49">
        <v>12</v>
      </c>
      <c r="B20" s="79" t="s">
        <v>22</v>
      </c>
      <c r="C20" s="50"/>
      <c r="D20" s="49">
        <f>avv!A17-A20</f>
        <v>-1</v>
      </c>
      <c r="E20" s="64">
        <v>3</v>
      </c>
      <c r="F20" s="50"/>
      <c r="G20" s="49">
        <f>avv!B18-A20</f>
        <v>1</v>
      </c>
      <c r="H20" s="80">
        <v>1</v>
      </c>
      <c r="J20" s="49">
        <f>avv!C17-A20</f>
        <v>0</v>
      </c>
      <c r="K20" s="49">
        <v>3</v>
      </c>
      <c r="L20" s="50"/>
      <c r="M20" s="49">
        <f>avv!D17-A20</f>
        <v>1</v>
      </c>
      <c r="N20" s="51">
        <v>2</v>
      </c>
      <c r="P20" s="49">
        <f>avv!E17-A20</f>
        <v>0</v>
      </c>
      <c r="Q20" s="49">
        <v>3</v>
      </c>
      <c r="R20" s="50"/>
      <c r="S20" s="49">
        <f>avv!F17-A20</f>
        <v>1</v>
      </c>
      <c r="T20" s="49">
        <v>1</v>
      </c>
      <c r="V20" s="49">
        <f>avv!G18-A20</f>
        <v>1</v>
      </c>
      <c r="W20" s="51">
        <v>2</v>
      </c>
    </row>
    <row r="21" spans="1:23" x14ac:dyDescent="0.25">
      <c r="A21" s="49">
        <v>12</v>
      </c>
      <c r="B21" s="73" t="s">
        <v>71</v>
      </c>
      <c r="C21" s="66"/>
      <c r="D21" s="67"/>
      <c r="E21" s="68"/>
      <c r="F21" s="69"/>
      <c r="G21" s="67"/>
      <c r="H21" s="68"/>
      <c r="I21" s="50"/>
      <c r="J21" s="49">
        <f>avv!C19-A21</f>
        <v>0</v>
      </c>
      <c r="K21" s="51">
        <v>2</v>
      </c>
      <c r="L21" s="50"/>
      <c r="M21" s="49">
        <f>avv!D19-A21</f>
        <v>1</v>
      </c>
      <c r="N21" s="51">
        <v>3</v>
      </c>
      <c r="O21" s="50"/>
      <c r="P21" s="49">
        <f>avv!E19-A21</f>
        <v>0</v>
      </c>
      <c r="Q21" s="51">
        <v>3</v>
      </c>
      <c r="R21" s="50"/>
      <c r="S21" s="49">
        <f>avv!F19-A21</f>
        <v>1</v>
      </c>
      <c r="T21" s="49">
        <v>3</v>
      </c>
      <c r="V21" s="49">
        <f>avv!G19-A21</f>
        <v>1</v>
      </c>
      <c r="W21" s="51">
        <v>2</v>
      </c>
    </row>
    <row r="22" spans="1:23" x14ac:dyDescent="0.25">
      <c r="A22" s="49">
        <v>12</v>
      </c>
      <c r="B22" s="79" t="s">
        <v>17</v>
      </c>
      <c r="C22" s="50"/>
      <c r="D22" s="49">
        <f>avv!A18-A22</f>
        <v>-1</v>
      </c>
      <c r="E22" s="64">
        <v>3</v>
      </c>
      <c r="F22" s="50"/>
      <c r="G22" s="49">
        <f>avv!B19-A22</f>
        <v>0</v>
      </c>
      <c r="H22" s="51">
        <v>3</v>
      </c>
      <c r="I22" s="50"/>
      <c r="J22" s="49">
        <f>avv!C18-A22</f>
        <v>0</v>
      </c>
      <c r="K22" s="51">
        <v>3</v>
      </c>
      <c r="L22" s="50"/>
      <c r="M22" s="49">
        <f>avv!D18-A22</f>
        <v>1</v>
      </c>
      <c r="N22" s="80">
        <v>1</v>
      </c>
      <c r="O22" s="50"/>
      <c r="P22" s="49">
        <f>avv!E18-A22</f>
        <v>0</v>
      </c>
      <c r="Q22" s="51">
        <v>3</v>
      </c>
      <c r="R22" s="50"/>
      <c r="S22" s="49">
        <f>avv!F18-A22</f>
        <v>1</v>
      </c>
      <c r="T22" s="49">
        <v>3</v>
      </c>
      <c r="V22" s="49">
        <f>avv!G20-A22</f>
        <v>1</v>
      </c>
      <c r="W22" s="51">
        <v>1</v>
      </c>
    </row>
    <row r="23" spans="1:23" x14ac:dyDescent="0.25">
      <c r="A23" s="49">
        <v>12</v>
      </c>
      <c r="B23" s="49" t="s">
        <v>41</v>
      </c>
      <c r="C23" s="50"/>
      <c r="D23" s="49">
        <f>avv!A19-A23</f>
        <v>-1</v>
      </c>
      <c r="E23" s="64">
        <v>3</v>
      </c>
      <c r="F23" s="50"/>
      <c r="G23" s="49">
        <f>avv!B20-A23</f>
        <v>0</v>
      </c>
      <c r="H23" s="51">
        <v>3</v>
      </c>
      <c r="I23" s="50"/>
      <c r="J23" s="49">
        <f>avv!C20-A23</f>
        <v>0</v>
      </c>
      <c r="K23" s="52">
        <v>3</v>
      </c>
      <c r="L23" s="50"/>
      <c r="M23" s="49">
        <f>avv!D20-A23</f>
        <v>1</v>
      </c>
      <c r="N23" s="51">
        <v>3</v>
      </c>
      <c r="O23" s="50"/>
      <c r="P23" s="49">
        <f>avv!E22-A23</f>
        <v>-1</v>
      </c>
      <c r="Q23" s="52">
        <v>3</v>
      </c>
      <c r="R23" s="50"/>
      <c r="S23" s="49">
        <f>avv!F20-A23</f>
        <v>0</v>
      </c>
      <c r="T23" s="49">
        <v>3</v>
      </c>
      <c r="V23" s="49">
        <f>avv!G21-A23</f>
        <v>1</v>
      </c>
      <c r="W23" s="52">
        <v>3</v>
      </c>
    </row>
    <row r="24" spans="1:23" x14ac:dyDescent="0.25">
      <c r="A24" s="49">
        <v>12</v>
      </c>
      <c r="B24" s="76" t="s">
        <v>18</v>
      </c>
      <c r="C24" s="75"/>
      <c r="D24" s="76"/>
      <c r="E24" s="77"/>
      <c r="F24" s="75"/>
      <c r="G24" s="76"/>
      <c r="H24" s="77"/>
      <c r="I24" s="75"/>
      <c r="J24" s="76"/>
      <c r="K24" s="77"/>
      <c r="L24" s="50"/>
      <c r="M24" s="49">
        <f>avv!D22-A24</f>
        <v>0</v>
      </c>
      <c r="N24" s="51">
        <v>3</v>
      </c>
      <c r="O24" s="50"/>
      <c r="P24" s="65"/>
      <c r="Q24" s="51"/>
      <c r="R24" s="50"/>
      <c r="S24" s="65">
        <f>avv!F22-A24</f>
        <v>0</v>
      </c>
      <c r="V24" s="49">
        <f>avv!G22-A24</f>
        <v>1</v>
      </c>
      <c r="W24" s="51">
        <v>3</v>
      </c>
    </row>
    <row r="25" spans="1:23" x14ac:dyDescent="0.25">
      <c r="A25" s="49">
        <v>12</v>
      </c>
      <c r="B25" s="65" t="s">
        <v>47</v>
      </c>
      <c r="C25" s="61"/>
      <c r="D25" s="49">
        <f>avv!A29-A25</f>
        <v>-2</v>
      </c>
      <c r="E25" s="64">
        <v>3</v>
      </c>
      <c r="F25" s="61"/>
      <c r="G25" s="49">
        <f>avv!B27-A25</f>
        <v>-1</v>
      </c>
      <c r="H25" s="62">
        <v>2</v>
      </c>
      <c r="I25" s="61"/>
      <c r="J25" s="49">
        <f>avv!C21-A25</f>
        <v>0</v>
      </c>
      <c r="K25" s="51">
        <v>3</v>
      </c>
      <c r="L25" s="50"/>
      <c r="M25" s="65"/>
      <c r="N25" s="51"/>
      <c r="O25" s="50"/>
      <c r="P25" s="49">
        <f>avv!E22-A25</f>
        <v>-1</v>
      </c>
      <c r="Q25" s="62">
        <v>0</v>
      </c>
      <c r="R25" s="50"/>
      <c r="S25" s="65">
        <f>avv!F21-A25</f>
        <v>0</v>
      </c>
      <c r="V25" s="49">
        <f>avv!G23-A25</f>
        <v>1</v>
      </c>
    </row>
    <row r="26" spans="1:23" x14ac:dyDescent="0.25">
      <c r="A26" s="49">
        <v>12</v>
      </c>
      <c r="B26" s="65" t="s">
        <v>19</v>
      </c>
      <c r="C26" s="50"/>
      <c r="D26" s="49">
        <f>avv!A22-A26</f>
        <v>-2</v>
      </c>
      <c r="E26" s="64">
        <v>3</v>
      </c>
      <c r="F26" s="50"/>
      <c r="G26" s="49">
        <f>avv!B23-A26</f>
        <v>0</v>
      </c>
      <c r="H26" s="51">
        <v>3</v>
      </c>
      <c r="I26" s="50"/>
      <c r="K26" s="74"/>
      <c r="L26" s="50"/>
      <c r="M26" s="49">
        <f>avv!D23-A26</f>
        <v>0</v>
      </c>
      <c r="N26" s="51">
        <v>2</v>
      </c>
      <c r="O26" s="50"/>
      <c r="P26" s="49">
        <f>avv!E23-A26</f>
        <v>-1</v>
      </c>
      <c r="Q26" s="51">
        <v>3</v>
      </c>
      <c r="R26" s="50"/>
      <c r="S26" s="65">
        <f>avv!F23-A26</f>
        <v>0</v>
      </c>
      <c r="V26" s="49">
        <f>avv!G24-A26</f>
        <v>0</v>
      </c>
      <c r="W26" s="51">
        <v>2</v>
      </c>
    </row>
    <row r="27" spans="1:23" x14ac:dyDescent="0.25">
      <c r="A27" s="49">
        <v>12</v>
      </c>
      <c r="B27" s="65" t="s">
        <v>42</v>
      </c>
      <c r="C27" s="50"/>
      <c r="D27" s="49">
        <f>avv!A23-A27</f>
        <v>-2</v>
      </c>
      <c r="E27" s="64">
        <v>3</v>
      </c>
      <c r="F27" s="50"/>
      <c r="G27" s="49">
        <f>avv!B24-A27</f>
        <v>0</v>
      </c>
      <c r="H27" s="51">
        <v>3</v>
      </c>
      <c r="J27" s="49">
        <f>avv!C24-A27</f>
        <v>-1</v>
      </c>
      <c r="K27" s="49">
        <v>3</v>
      </c>
      <c r="L27" s="50"/>
      <c r="M27" s="65"/>
      <c r="N27" s="51"/>
      <c r="P27" s="49">
        <f>avv!E25-A27</f>
        <v>-1</v>
      </c>
      <c r="Q27" s="49">
        <v>3</v>
      </c>
      <c r="R27" s="50"/>
      <c r="S27" s="49">
        <f>avv!F24-A27</f>
        <v>0</v>
      </c>
      <c r="T27" s="49">
        <v>3</v>
      </c>
      <c r="V27" s="49">
        <f>avv!G25-A27</f>
        <v>0</v>
      </c>
      <c r="W27" s="51">
        <v>1</v>
      </c>
    </row>
    <row r="28" spans="1:23" x14ac:dyDescent="0.25">
      <c r="A28" s="49">
        <v>12</v>
      </c>
      <c r="B28" s="49" t="s">
        <v>27</v>
      </c>
      <c r="C28" s="50"/>
      <c r="D28" s="49">
        <f>avv!A24-A28</f>
        <v>-2</v>
      </c>
      <c r="E28" s="64">
        <v>3</v>
      </c>
      <c r="F28" s="50"/>
      <c r="G28" s="49">
        <f>avv!B26-A28</f>
        <v>-1</v>
      </c>
      <c r="H28" s="51">
        <v>3</v>
      </c>
      <c r="I28" s="50"/>
      <c r="J28" s="49">
        <f>avv!C25-A28</f>
        <v>-1</v>
      </c>
      <c r="K28" s="51">
        <v>3</v>
      </c>
      <c r="L28" s="50"/>
      <c r="M28" s="49">
        <f>avv!D25-A28</f>
        <v>0</v>
      </c>
      <c r="N28" s="51">
        <v>3</v>
      </c>
      <c r="O28" s="50"/>
      <c r="P28" s="49">
        <f>avv!E25-A28</f>
        <v>-1</v>
      </c>
      <c r="Q28" s="51">
        <v>3</v>
      </c>
      <c r="R28" s="50"/>
      <c r="S28" s="49">
        <f>avv!F25-A28</f>
        <v>0</v>
      </c>
      <c r="T28" s="49">
        <v>3</v>
      </c>
      <c r="V28" s="49">
        <f>avv!G26-A28</f>
        <v>0</v>
      </c>
      <c r="W28" s="51">
        <v>3</v>
      </c>
    </row>
    <row r="29" spans="1:23" x14ac:dyDescent="0.25">
      <c r="A29" s="49">
        <v>12</v>
      </c>
      <c r="B29" s="70" t="s">
        <v>45</v>
      </c>
      <c r="C29" s="50" t="s">
        <v>70</v>
      </c>
      <c r="D29" s="49">
        <f>avv!A11-A29</f>
        <v>-1</v>
      </c>
      <c r="E29" s="64">
        <v>3</v>
      </c>
      <c r="F29" s="50"/>
      <c r="G29" s="49">
        <f>avv!B30-A29</f>
        <v>-5</v>
      </c>
      <c r="H29" s="51">
        <v>3</v>
      </c>
      <c r="I29" s="50"/>
      <c r="J29" s="49">
        <f>avv!C30-A29</f>
        <v>-2</v>
      </c>
      <c r="K29" s="51">
        <v>3</v>
      </c>
      <c r="L29" s="50"/>
      <c r="M29" s="49">
        <f>avv!D26-A29</f>
        <v>0</v>
      </c>
      <c r="N29" s="62">
        <v>1</v>
      </c>
      <c r="O29" s="50"/>
      <c r="P29" s="49">
        <f>avv!E27-A29</f>
        <v>-1</v>
      </c>
      <c r="Q29" s="51">
        <v>3</v>
      </c>
      <c r="R29" s="50"/>
      <c r="S29" s="49">
        <f>avv!F26-A29</f>
        <v>-1</v>
      </c>
      <c r="T29" s="49">
        <v>3</v>
      </c>
      <c r="V29" s="49">
        <f>avv!G27-A29</f>
        <v>0</v>
      </c>
      <c r="W29" s="51">
        <v>3</v>
      </c>
    </row>
    <row r="30" spans="1:23" x14ac:dyDescent="0.25">
      <c r="A30" s="49">
        <v>12</v>
      </c>
      <c r="B30" s="49" t="s">
        <v>23</v>
      </c>
      <c r="C30" s="50"/>
      <c r="D30" s="49">
        <f>avv!A25-A30</f>
        <v>-2</v>
      </c>
      <c r="E30" s="64">
        <v>3</v>
      </c>
      <c r="F30" s="50">
        <v>1</v>
      </c>
      <c r="G30" s="49">
        <f>avv!B25-A30</f>
        <v>-1</v>
      </c>
      <c r="H30" s="51">
        <v>3</v>
      </c>
      <c r="I30" s="50"/>
      <c r="J30" s="49">
        <f>avv!C26-A30</f>
        <v>-1</v>
      </c>
      <c r="K30" s="51">
        <v>3</v>
      </c>
      <c r="L30" s="50"/>
      <c r="M30" s="49">
        <f>avv!D27-A30</f>
        <v>0</v>
      </c>
      <c r="N30" s="51">
        <v>3</v>
      </c>
      <c r="O30" s="50"/>
      <c r="P30" s="49">
        <f>avv!E28-A30</f>
        <v>-1</v>
      </c>
      <c r="Q30" s="51">
        <v>3</v>
      </c>
      <c r="R30" s="50"/>
      <c r="S30" s="49">
        <f>avv!F27-A30</f>
        <v>-1</v>
      </c>
      <c r="T30" s="49">
        <v>3</v>
      </c>
      <c r="V30" s="49">
        <f>avv!G28-A30</f>
        <v>0</v>
      </c>
      <c r="W30" s="51">
        <v>1</v>
      </c>
    </row>
    <row r="31" spans="1:23" x14ac:dyDescent="0.25">
      <c r="A31" s="49">
        <v>12</v>
      </c>
      <c r="B31" s="49" t="s">
        <v>30</v>
      </c>
      <c r="C31" s="50"/>
      <c r="D31" s="49">
        <f>avv!A28-A31</f>
        <v>-2</v>
      </c>
      <c r="E31" s="64">
        <v>3</v>
      </c>
      <c r="F31" s="50"/>
      <c r="G31" s="49">
        <f>avv!B28-A31</f>
        <v>-3</v>
      </c>
      <c r="H31" s="51">
        <v>3</v>
      </c>
      <c r="I31" s="50"/>
      <c r="J31" s="49">
        <f>avv!C28-A31</f>
        <v>-1</v>
      </c>
      <c r="K31" s="51">
        <v>3</v>
      </c>
      <c r="L31" s="50"/>
      <c r="M31" s="49">
        <f>avv!D29-A31</f>
        <v>-1</v>
      </c>
      <c r="N31" s="51">
        <v>3</v>
      </c>
      <c r="O31" s="50"/>
      <c r="P31" s="49">
        <f>avv!E29-A31</f>
        <v>-1</v>
      </c>
      <c r="Q31" s="51">
        <v>3</v>
      </c>
      <c r="R31" s="50"/>
      <c r="S31" s="49">
        <f>avv!F29-A31</f>
        <v>-2</v>
      </c>
      <c r="T31" s="49">
        <v>3</v>
      </c>
      <c r="V31" s="49">
        <f>avv!G29-A31</f>
        <v>0</v>
      </c>
      <c r="W31" s="88">
        <v>2</v>
      </c>
    </row>
    <row r="32" spans="1:23" ht="15.75" thickBot="1" x14ac:dyDescent="0.3">
      <c r="A32" s="49">
        <v>12</v>
      </c>
      <c r="B32" s="65" t="s">
        <v>49</v>
      </c>
      <c r="C32" s="50"/>
      <c r="D32" s="49">
        <f>avv!A27-A32</f>
        <v>-2</v>
      </c>
      <c r="E32" s="64">
        <v>3</v>
      </c>
      <c r="F32" s="50"/>
      <c r="G32" s="49">
        <f>avv!B29-A32</f>
        <v>-4</v>
      </c>
      <c r="H32" s="51">
        <v>3</v>
      </c>
      <c r="I32" s="50"/>
      <c r="J32" s="49">
        <f>avv!C29-A32</f>
        <v>-1</v>
      </c>
      <c r="K32" s="51">
        <v>3</v>
      </c>
      <c r="L32" s="50"/>
      <c r="M32" s="65"/>
      <c r="N32" s="51"/>
      <c r="O32" s="50"/>
      <c r="P32" s="65"/>
      <c r="Q32" s="51"/>
      <c r="R32" s="50"/>
      <c r="S32" s="49">
        <f>avv!F30-A32</f>
        <v>-2</v>
      </c>
      <c r="T32" s="49">
        <v>3</v>
      </c>
      <c r="V32" s="49">
        <f>avv!G30-A32</f>
        <v>-3</v>
      </c>
      <c r="W32" s="51">
        <v>3</v>
      </c>
    </row>
    <row r="33" spans="1:29" ht="15.75" thickBot="1" x14ac:dyDescent="0.3">
      <c r="A33" s="53"/>
      <c r="B33" s="53"/>
      <c r="C33" s="53"/>
      <c r="D33" s="53"/>
      <c r="E33" s="53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82"/>
      <c r="U33" s="83"/>
      <c r="V33" s="53"/>
      <c r="W33" s="53"/>
      <c r="X33" s="53"/>
      <c r="Y33" s="53"/>
      <c r="Z33" s="53"/>
      <c r="AA33" s="53"/>
      <c r="AB33" s="53"/>
      <c r="AC33" s="53"/>
    </row>
    <row r="34" spans="1:29" hidden="1" outlineLevel="1" x14ac:dyDescent="0.25">
      <c r="A34" s="49">
        <v>12</v>
      </c>
      <c r="B34" s="65" t="s">
        <v>50</v>
      </c>
      <c r="C34" s="50"/>
      <c r="D34" s="49">
        <f>avv!A30-A34</f>
        <v>-2</v>
      </c>
      <c r="E34" s="64">
        <v>3</v>
      </c>
      <c r="F34" s="50"/>
      <c r="G34" s="65"/>
      <c r="H34" s="51"/>
      <c r="I34" s="50"/>
      <c r="K34" s="74"/>
      <c r="L34" s="50"/>
      <c r="M34" s="65"/>
      <c r="N34" s="51"/>
      <c r="O34" s="50"/>
      <c r="P34" s="49">
        <f>avv!E32-A34</f>
        <v>-12</v>
      </c>
      <c r="Q34" s="51"/>
      <c r="R34" s="50"/>
      <c r="S34" s="49">
        <f>avv!F32-A34</f>
        <v>-12</v>
      </c>
      <c r="V34" s="49">
        <f>avv!G32-A34</f>
        <v>-12</v>
      </c>
    </row>
    <row r="35" spans="1:29" hidden="1" outlineLevel="1" x14ac:dyDescent="0.25">
      <c r="A35" s="49">
        <v>13</v>
      </c>
      <c r="B35" s="65" t="s">
        <v>46</v>
      </c>
      <c r="C35" s="50"/>
      <c r="D35" s="65"/>
      <c r="E35" s="51"/>
      <c r="F35" s="50"/>
      <c r="G35" s="65"/>
      <c r="H35" s="51"/>
      <c r="I35" s="50"/>
      <c r="K35" s="74"/>
      <c r="L35" s="50"/>
      <c r="N35" s="51"/>
      <c r="O35" s="50"/>
      <c r="Q35" s="51"/>
      <c r="R35" s="50"/>
    </row>
    <row r="36" spans="1:29" ht="15.75" hidden="1" outlineLevel="1" thickBot="1" x14ac:dyDescent="0.3">
      <c r="A36" s="49">
        <v>12</v>
      </c>
      <c r="B36" s="65" t="s">
        <v>51</v>
      </c>
      <c r="C36" s="50"/>
      <c r="D36" s="65"/>
      <c r="E36" s="51"/>
      <c r="F36" s="50"/>
      <c r="G36" s="65"/>
      <c r="H36" s="51"/>
      <c r="I36" s="50"/>
      <c r="K36" s="74"/>
      <c r="L36" s="50"/>
      <c r="N36" s="51"/>
      <c r="O36" s="50"/>
      <c r="Q36" s="51"/>
      <c r="R36" s="50"/>
    </row>
    <row r="37" spans="1:29" ht="15.75" collapsed="1" thickBot="1" x14ac:dyDescent="0.3">
      <c r="A37" s="53"/>
      <c r="B37" s="53"/>
      <c r="C37" s="53"/>
      <c r="D37" s="53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82"/>
      <c r="U37" s="83"/>
      <c r="V37" s="53"/>
      <c r="W37" s="53"/>
      <c r="X37" s="53"/>
      <c r="Y37" s="53"/>
      <c r="Z37" s="53"/>
      <c r="AA37" s="53"/>
      <c r="AB37" s="53"/>
      <c r="AC37" s="53"/>
    </row>
    <row r="38" spans="1:29" ht="15.75" thickBot="1" x14ac:dyDescent="0.3">
      <c r="A38" s="54"/>
      <c r="B38" s="55" t="s">
        <v>37</v>
      </c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82"/>
      <c r="U38" s="83"/>
      <c r="V38" s="53"/>
      <c r="W38" s="53"/>
      <c r="X38" s="53"/>
      <c r="Y38" s="53"/>
      <c r="Z38" s="53"/>
      <c r="AA38" s="53"/>
      <c r="AB38" s="53"/>
      <c r="AC38" s="53"/>
    </row>
    <row r="39" spans="1:29" ht="15.75" thickBot="1" x14ac:dyDescent="0.3">
      <c r="A39" s="56"/>
      <c r="B39" s="55" t="s">
        <v>38</v>
      </c>
      <c r="C39" s="53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82"/>
      <c r="U39" s="83"/>
      <c r="V39" s="53"/>
      <c r="W39" s="53"/>
      <c r="X39" s="53"/>
      <c r="Y39" s="53"/>
      <c r="Z39" s="53"/>
      <c r="AA39" s="53"/>
      <c r="AB39" s="53"/>
      <c r="AC39" s="53"/>
    </row>
    <row r="40" spans="1:29" ht="15.75" thickBot="1" x14ac:dyDescent="0.3">
      <c r="A40" s="57"/>
      <c r="B40" s="55" t="s">
        <v>39</v>
      </c>
      <c r="C40" s="53"/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82"/>
      <c r="U40" s="83"/>
      <c r="V40" s="53"/>
      <c r="W40" s="53"/>
      <c r="X40" s="53"/>
      <c r="Y40" s="53"/>
      <c r="Z40" s="53"/>
      <c r="AA40" s="53"/>
      <c r="AB40" s="53"/>
      <c r="AC40" s="53"/>
    </row>
    <row r="41" spans="1:29" ht="15.75" thickBot="1" x14ac:dyDescent="0.3">
      <c r="A41" s="58"/>
      <c r="B41" s="55" t="s">
        <v>72</v>
      </c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82"/>
      <c r="U41" s="83"/>
      <c r="V41" s="53"/>
      <c r="W41" s="53"/>
      <c r="X41" s="53"/>
      <c r="Y41" s="53"/>
      <c r="Z41" s="53"/>
      <c r="AA41" s="53"/>
      <c r="AB41" s="53"/>
      <c r="AC41" s="53"/>
    </row>
    <row r="42" spans="1:29" ht="15.75" thickBot="1" x14ac:dyDescent="0.3">
      <c r="A42" s="59"/>
      <c r="B42" s="55" t="s">
        <v>69</v>
      </c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82"/>
      <c r="U42" s="83"/>
      <c r="V42" s="53"/>
      <c r="W42" s="53"/>
      <c r="X42" s="53"/>
      <c r="Y42" s="53"/>
      <c r="Z42" s="53"/>
      <c r="AA42" s="53"/>
      <c r="AB42" s="53"/>
      <c r="AC42" s="53"/>
    </row>
    <row r="43" spans="1:29" ht="15.75" thickBot="1" x14ac:dyDescent="0.3">
      <c r="A43" s="81"/>
      <c r="B43" s="55" t="s">
        <v>73</v>
      </c>
      <c r="C43" s="53"/>
      <c r="D43" s="53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82"/>
      <c r="U43" s="83"/>
      <c r="V43" s="53"/>
      <c r="W43" s="53"/>
      <c r="X43" s="53"/>
      <c r="Y43" s="53"/>
      <c r="Z43" s="53"/>
      <c r="AA43" s="53"/>
      <c r="AB43" s="53"/>
      <c r="AC43" s="53"/>
    </row>
  </sheetData>
  <sortState xmlns:xlrd2="http://schemas.microsoft.com/office/spreadsheetml/2017/richdata2" ref="A3:B30">
    <sortCondition descending="1" ref="A3:A30"/>
  </sortState>
  <mergeCells count="7">
    <mergeCell ref="R1:T1"/>
    <mergeCell ref="U1:W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F01F9-5167-499B-96C3-486CFF0E784F}">
  <dimension ref="A1:J29"/>
  <sheetViews>
    <sheetView workbookViewId="0">
      <selection activeCell="A30" sqref="A30:XFD30"/>
    </sheetView>
  </sheetViews>
  <sheetFormatPr defaultRowHeight="15" x14ac:dyDescent="0.25"/>
  <sheetData>
    <row r="1" spans="1:10" x14ac:dyDescent="0.25">
      <c r="A1">
        <v>16</v>
      </c>
      <c r="B1" t="s">
        <v>1</v>
      </c>
    </row>
    <row r="2" spans="1:10" x14ac:dyDescent="0.25">
      <c r="A2">
        <v>15</v>
      </c>
      <c r="B2" t="s">
        <v>55</v>
      </c>
    </row>
    <row r="3" spans="1:10" x14ac:dyDescent="0.25">
      <c r="A3">
        <v>15</v>
      </c>
      <c r="B3" t="s">
        <v>3</v>
      </c>
      <c r="I3">
        <v>13</v>
      </c>
      <c r="J3" t="s">
        <v>5</v>
      </c>
    </row>
    <row r="4" spans="1:10" x14ac:dyDescent="0.25">
      <c r="A4">
        <v>13</v>
      </c>
      <c r="B4" t="s">
        <v>6</v>
      </c>
      <c r="E4" t="s">
        <v>52</v>
      </c>
      <c r="I4">
        <v>13</v>
      </c>
      <c r="J4" t="s">
        <v>56</v>
      </c>
    </row>
    <row r="5" spans="1:10" x14ac:dyDescent="0.25">
      <c r="A5">
        <v>13</v>
      </c>
      <c r="B5" t="s">
        <v>8</v>
      </c>
      <c r="E5" t="s">
        <v>53</v>
      </c>
      <c r="I5">
        <v>13</v>
      </c>
      <c r="J5" t="s">
        <v>57</v>
      </c>
    </row>
    <row r="6" spans="1:10" x14ac:dyDescent="0.25">
      <c r="A6">
        <v>13</v>
      </c>
      <c r="B6" t="s">
        <v>44</v>
      </c>
      <c r="E6" t="s">
        <v>54</v>
      </c>
      <c r="I6">
        <v>12</v>
      </c>
      <c r="J6" t="s">
        <v>58</v>
      </c>
    </row>
    <row r="7" spans="1:10" x14ac:dyDescent="0.25">
      <c r="A7">
        <v>13</v>
      </c>
      <c r="B7" t="s">
        <v>4</v>
      </c>
      <c r="I7">
        <v>12</v>
      </c>
      <c r="J7" t="s">
        <v>59</v>
      </c>
    </row>
    <row r="8" spans="1:10" x14ac:dyDescent="0.25">
      <c r="A8">
        <v>13</v>
      </c>
      <c r="B8" t="s">
        <v>13</v>
      </c>
    </row>
    <row r="9" spans="1:10" x14ac:dyDescent="0.25">
      <c r="A9">
        <v>13</v>
      </c>
      <c r="B9" t="s">
        <v>46</v>
      </c>
      <c r="I9">
        <v>12</v>
      </c>
      <c r="J9" t="s">
        <v>60</v>
      </c>
    </row>
    <row r="10" spans="1:10" x14ac:dyDescent="0.25">
      <c r="A10">
        <v>13</v>
      </c>
      <c r="B10" t="s">
        <v>7</v>
      </c>
    </row>
    <row r="11" spans="1:10" x14ac:dyDescent="0.25">
      <c r="A11">
        <v>13</v>
      </c>
      <c r="B11" t="s">
        <v>15</v>
      </c>
      <c r="I11">
        <v>12</v>
      </c>
      <c r="J11" t="s">
        <v>18</v>
      </c>
    </row>
    <row r="12" spans="1:10" x14ac:dyDescent="0.25">
      <c r="A12">
        <v>12</v>
      </c>
      <c r="B12" t="s">
        <v>41</v>
      </c>
      <c r="I12">
        <v>12</v>
      </c>
      <c r="J12" t="s">
        <v>61</v>
      </c>
    </row>
    <row r="13" spans="1:10" x14ac:dyDescent="0.25">
      <c r="A13">
        <v>12</v>
      </c>
      <c r="B13" t="s">
        <v>42</v>
      </c>
      <c r="I13">
        <v>12</v>
      </c>
      <c r="J13" t="s">
        <v>62</v>
      </c>
    </row>
    <row r="14" spans="1:10" x14ac:dyDescent="0.25">
      <c r="A14">
        <v>12</v>
      </c>
      <c r="B14" t="s">
        <v>22</v>
      </c>
      <c r="I14">
        <v>12</v>
      </c>
      <c r="J14" t="s">
        <v>14</v>
      </c>
    </row>
    <row r="15" spans="1:10" x14ac:dyDescent="0.25">
      <c r="A15">
        <v>12</v>
      </c>
      <c r="B15" t="s">
        <v>43</v>
      </c>
      <c r="I15">
        <v>12</v>
      </c>
      <c r="J15" t="s">
        <v>63</v>
      </c>
    </row>
    <row r="16" spans="1:10" x14ac:dyDescent="0.25">
      <c r="A16">
        <v>12</v>
      </c>
      <c r="B16" t="s">
        <v>10</v>
      </c>
    </row>
    <row r="17" spans="1:10" x14ac:dyDescent="0.25">
      <c r="A17">
        <v>12</v>
      </c>
      <c r="B17" t="s">
        <v>9</v>
      </c>
      <c r="I17">
        <v>12</v>
      </c>
      <c r="J17" t="s">
        <v>64</v>
      </c>
    </row>
    <row r="18" spans="1:10" x14ac:dyDescent="0.25">
      <c r="A18">
        <v>12</v>
      </c>
      <c r="B18" t="s">
        <v>47</v>
      </c>
      <c r="I18">
        <v>11</v>
      </c>
      <c r="J18" t="s">
        <v>24</v>
      </c>
    </row>
    <row r="19" spans="1:10" x14ac:dyDescent="0.25">
      <c r="A19">
        <v>12</v>
      </c>
      <c r="B19" t="s">
        <v>12</v>
      </c>
      <c r="I19">
        <v>11</v>
      </c>
      <c r="J19" t="s">
        <v>29</v>
      </c>
    </row>
    <row r="20" spans="1:10" x14ac:dyDescent="0.25">
      <c r="A20">
        <v>12</v>
      </c>
      <c r="B20" t="s">
        <v>48</v>
      </c>
    </row>
    <row r="21" spans="1:10" x14ac:dyDescent="0.25">
      <c r="A21">
        <v>12</v>
      </c>
      <c r="B21" t="s">
        <v>49</v>
      </c>
    </row>
    <row r="22" spans="1:10" x14ac:dyDescent="0.25">
      <c r="A22">
        <v>12</v>
      </c>
      <c r="B22" t="s">
        <v>51</v>
      </c>
    </row>
    <row r="23" spans="1:10" x14ac:dyDescent="0.25">
      <c r="A23">
        <v>12</v>
      </c>
      <c r="B23" t="s">
        <v>45</v>
      </c>
    </row>
    <row r="24" spans="1:10" x14ac:dyDescent="0.25">
      <c r="A24">
        <v>12</v>
      </c>
      <c r="B24" t="s">
        <v>30</v>
      </c>
    </row>
    <row r="25" spans="1:10" x14ac:dyDescent="0.25">
      <c r="A25">
        <v>12</v>
      </c>
      <c r="B25" t="s">
        <v>27</v>
      </c>
    </row>
    <row r="26" spans="1:10" x14ac:dyDescent="0.25">
      <c r="A26">
        <v>12</v>
      </c>
      <c r="B26" t="s">
        <v>23</v>
      </c>
    </row>
    <row r="27" spans="1:10" x14ac:dyDescent="0.25">
      <c r="A27">
        <v>12</v>
      </c>
      <c r="B27" t="s">
        <v>50</v>
      </c>
    </row>
    <row r="28" spans="1:10" x14ac:dyDescent="0.25">
      <c r="A28">
        <v>12</v>
      </c>
      <c r="B28" t="s">
        <v>11</v>
      </c>
    </row>
    <row r="29" spans="1:10" x14ac:dyDescent="0.25">
      <c r="A29">
        <v>12</v>
      </c>
      <c r="B29" t="s">
        <v>19</v>
      </c>
    </row>
  </sheetData>
  <sortState xmlns:xlrd2="http://schemas.microsoft.com/office/spreadsheetml/2017/richdata2" ref="A1:B30">
    <sortCondition descending="1" ref="A1:A30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clan games</vt:lpstr>
      <vt:lpstr>CLAN CAPITAL</vt:lpstr>
      <vt:lpstr>avv</vt:lpstr>
      <vt:lpstr>CWL 1</vt:lpstr>
      <vt:lpstr>CWL 2</vt:lpstr>
      <vt:lpstr>partecipanti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2025-12-13T16:45:37Z</dcterms:modified>
</cp:coreProperties>
</file>