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3A0B08B8-9090-4E1E-B6F1-0F94517232A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5" r:id="rId5"/>
    <sheet name="CWL 6" sheetId="6" r:id="rId6"/>
    <sheet name="avv" sheetId="7" r:id="rId7"/>
    <sheet name="partecipanti" sheetId="8" r:id="rId8"/>
    <sheet name="wars" sheetId="9" r:id="rId9"/>
  </sheets>
  <definedNames>
    <definedName name="_xlnm._FilterDatabase" localSheetId="8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9" l="1"/>
  <c r="E50" i="9"/>
  <c r="F49" i="9"/>
  <c r="E49" i="9"/>
  <c r="F48" i="9"/>
  <c r="E48" i="9"/>
  <c r="F47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F2" i="9"/>
  <c r="E2" i="9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<sst xmlns="http://schemas.openxmlformats.org/spreadsheetml/2006/main" count="1170" uniqueCount="343">
  <si>
    <t>nome</t>
  </si>
  <si>
    <t>pos</t>
  </si>
  <si>
    <t>th</t>
  </si>
  <si>
    <t>stelle</t>
  </si>
  <si>
    <t>xbladze</t>
  </si>
  <si>
    <t xml:space="preserve">dado     </t>
  </si>
  <si>
    <t>N</t>
  </si>
  <si>
    <t>PIPPII</t>
  </si>
  <si>
    <t>Luigi</t>
  </si>
  <si>
    <t>piegian99</t>
  </si>
  <si>
    <t>Stentaaa</t>
  </si>
  <si>
    <t>GiornoBrando</t>
  </si>
  <si>
    <t>xNullx</t>
  </si>
  <si>
    <t>BigMc23</t>
  </si>
  <si>
    <t>Revolver</t>
  </si>
  <si>
    <t>Kle</t>
  </si>
  <si>
    <t>leo</t>
  </si>
  <si>
    <t>MIRIAM MIRIAM</t>
  </si>
  <si>
    <t>haha</t>
  </si>
  <si>
    <t>pigiamone99</t>
  </si>
  <si>
    <t>Amazonie</t>
  </si>
  <si>
    <t>Anto</t>
  </si>
  <si>
    <t>Anonymus</t>
  </si>
  <si>
    <t>Luca</t>
  </si>
  <si>
    <t>buff-x-bow</t>
  </si>
  <si>
    <t>Juri</t>
  </si>
  <si>
    <t>TinoGiusa</t>
  </si>
  <si>
    <t>Floky23</t>
  </si>
  <si>
    <t>Simone</t>
  </si>
  <si>
    <t>Edoardo9</t>
  </si>
  <si>
    <t>El sushino</t>
  </si>
  <si>
    <t>Francesco10</t>
  </si>
  <si>
    <t>maikol_lix</t>
  </si>
  <si>
    <t>RobbyCV</t>
  </si>
  <si>
    <t>EMA ALBA003</t>
  </si>
  <si>
    <t>gionny</t>
  </si>
  <si>
    <t>Fryck</t>
  </si>
  <si>
    <t>IL MAGO NERO</t>
  </si>
  <si>
    <t>attacco basso</t>
  </si>
  <si>
    <t>attacco brutto</t>
  </si>
  <si>
    <t>no attacco</t>
  </si>
  <si>
    <t>ottimo attacco</t>
  </si>
  <si>
    <t>attacco meh</t>
  </si>
  <si>
    <t>NO SONDAGGIO</t>
  </si>
  <si>
    <t>inserito dopo</t>
  </si>
  <si>
    <t>xblade</t>
  </si>
  <si>
    <t>marcojk</t>
  </si>
  <si>
    <t>dado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</si>
  <si>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</si>
  <si>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</si>
  <si>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</si>
  <si>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</si>
  <si>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</si>
  <si>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</si>
  <si>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</si>
  <si>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</si>
  <si>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</si>
  <si>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</si>
  <si>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</si>
  <si>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</si>
  <si>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</si>
  <si>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</si>
  <si>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</si>
  <si>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</si>
  <si>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</si>
  <si>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</si>
  <si>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</si>
  <si>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</si>
  <si>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</si>
  <si>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</si>
  <si>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</si>
  <si>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</si>
  <si>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</si>
  <si>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</si>
  <si>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</si>
  <si>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pessimo</t>
  </si>
  <si>
    <t>assegnazione forzata</t>
  </si>
  <si>
    <t>marcojk007</t>
  </si>
  <si>
    <t>chabby</t>
  </si>
  <si>
    <t>zombra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</si>
  <si>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</si>
  <si>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</si>
  <si>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</si>
  <si>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</si>
  <si>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</si>
  <si>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</si>
  <si>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</si>
  <si>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</si>
  <si>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</si>
  <si>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 xml:space="preserve">Stentaaa </t>
  </si>
  <si>
    <t xml:space="preserve">BigMc23  </t>
  </si>
  <si>
    <t>Valh</t>
  </si>
  <si>
    <t>Queen of Shadow</t>
  </si>
  <si>
    <t>MASCHI</t>
  </si>
  <si>
    <t>¥CATA¥</t>
  </si>
  <si>
    <t>HikariNoRob</t>
  </si>
  <si>
    <t>ER DANDI 1927</t>
  </si>
  <si>
    <t>SubOhm</t>
  </si>
  <si>
    <t>Luxor</t>
  </si>
  <si>
    <t>th4nos</t>
  </si>
  <si>
    <t>!!!!!!!</t>
  </si>
  <si>
    <t>sidcujs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</si>
  <si>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</si>
  <si>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</si>
  <si>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</si>
  <si>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</si>
  <si>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</si>
  <si>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</si>
  <si>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</si>
  <si>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</si>
  <si>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</si>
  <si>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x</t>
  </si>
  <si>
    <t xml:space="preserve">zordan </t>
  </si>
  <si>
    <t>n</t>
  </si>
  <si>
    <t>LucFir3</t>
  </si>
  <si>
    <t>revolver</t>
  </si>
  <si>
    <t>andriu07</t>
  </si>
  <si>
    <t>favretto</t>
  </si>
  <si>
    <t>francesco</t>
  </si>
  <si>
    <t>X</t>
  </si>
  <si>
    <t>Big giurz08</t>
  </si>
  <si>
    <t>CWL2</t>
  </si>
  <si>
    <t>GX king</t>
  </si>
  <si>
    <t>CWL 4</t>
  </si>
  <si>
    <t>CWL5</t>
  </si>
  <si>
    <t>riserve</t>
  </si>
  <si>
    <t>fuori</t>
  </si>
  <si>
    <t>partecipanti</t>
  </si>
  <si>
    <t>test</t>
  </si>
  <si>
    <t>out</t>
  </si>
  <si>
    <t xml:space="preserve">Ale22       </t>
  </si>
  <si>
    <t>Alessio9797</t>
  </si>
  <si>
    <t>655321</t>
  </si>
  <si>
    <t>amazonie</t>
  </si>
  <si>
    <t>0/1</t>
  </si>
  <si>
    <t>dem</t>
  </si>
  <si>
    <t>Dado</t>
  </si>
  <si>
    <t>Ale22</t>
  </si>
  <si>
    <t>buff x-bow</t>
  </si>
  <si>
    <t>fabiovesco</t>
  </si>
  <si>
    <t>alhfmfh</t>
  </si>
  <si>
    <t>Chabby</t>
  </si>
  <si>
    <t>anonymous</t>
  </si>
  <si>
    <t>kle</t>
  </si>
  <si>
    <t>1/1</t>
  </si>
  <si>
    <t>subhom</t>
  </si>
  <si>
    <t xml:space="preserve">dado        </t>
  </si>
  <si>
    <t>Darvix</t>
  </si>
  <si>
    <t>BigGiurz08</t>
  </si>
  <si>
    <t>EdoDodo</t>
  </si>
  <si>
    <t>anto</t>
  </si>
  <si>
    <t>antony</t>
  </si>
  <si>
    <t>dela</t>
  </si>
  <si>
    <t>Cleopatra</t>
  </si>
  <si>
    <t>tinogiusa</t>
  </si>
  <si>
    <t>falcuns</t>
  </si>
  <si>
    <t>edododo</t>
  </si>
  <si>
    <t>nik</t>
  </si>
  <si>
    <t>Giosan</t>
  </si>
  <si>
    <t>Giorgio</t>
  </si>
  <si>
    <t>Diti</t>
  </si>
  <si>
    <t>wolf</t>
  </si>
  <si>
    <t>buff x bow</t>
  </si>
  <si>
    <t>KANEKI</t>
  </si>
  <si>
    <t>Fra</t>
  </si>
  <si>
    <t>GGfresco_08</t>
  </si>
  <si>
    <t>edoardo9</t>
  </si>
  <si>
    <t>ema alba</t>
  </si>
  <si>
    <t>christian</t>
  </si>
  <si>
    <t>Leo</t>
  </si>
  <si>
    <t>cucco</t>
  </si>
  <si>
    <t>el sushino</t>
  </si>
  <si>
    <t>luka</t>
  </si>
  <si>
    <t xml:space="preserve">haha        </t>
  </si>
  <si>
    <t>GioStyle</t>
  </si>
  <si>
    <t>tazio</t>
  </si>
  <si>
    <t>Mario</t>
  </si>
  <si>
    <t>floky23</t>
  </si>
  <si>
    <t>ajaz</t>
  </si>
  <si>
    <t>king</t>
  </si>
  <si>
    <t xml:space="preserve">HikariNoRob </t>
  </si>
  <si>
    <t>Leonida</t>
  </si>
  <si>
    <t>Dasters79</t>
  </si>
  <si>
    <t>francesco10</t>
  </si>
  <si>
    <t>re deo</t>
  </si>
  <si>
    <t>fabio</t>
  </si>
  <si>
    <t>Loris</t>
  </si>
  <si>
    <t>salvo24</t>
  </si>
  <si>
    <t>giornobrando</t>
  </si>
  <si>
    <t>ggfresco</t>
  </si>
  <si>
    <t>daniele</t>
  </si>
  <si>
    <t>Omar</t>
  </si>
  <si>
    <t xml:space="preserve">Luigi       </t>
  </si>
  <si>
    <t>Spiderman</t>
  </si>
  <si>
    <t>juri</t>
  </si>
  <si>
    <t>serra</t>
  </si>
  <si>
    <t>federico99</t>
  </si>
  <si>
    <t>Robby</t>
  </si>
  <si>
    <t>sidcu js</t>
  </si>
  <si>
    <t xml:space="preserve">piegian99   </t>
  </si>
  <si>
    <t>zordan</t>
  </si>
  <si>
    <t>luca</t>
  </si>
  <si>
    <t>lord pucci</t>
  </si>
  <si>
    <t>zine</t>
  </si>
  <si>
    <t xml:space="preserve">pigiamone99 </t>
  </si>
  <si>
    <t>danielpica</t>
  </si>
  <si>
    <t xml:space="preserve">PIPPII      </t>
  </si>
  <si>
    <t>maikol lix</t>
  </si>
  <si>
    <t>Staenta</t>
  </si>
  <si>
    <t>loris</t>
  </si>
  <si>
    <t xml:space="preserve">revolver    </t>
  </si>
  <si>
    <t>miriam miriam</t>
  </si>
  <si>
    <t>subohm</t>
  </si>
  <si>
    <t xml:space="preserve">Stentaaa    </t>
  </si>
  <si>
    <t>pippii</t>
  </si>
  <si>
    <t>Xblade</t>
  </si>
  <si>
    <t>papi</t>
  </si>
  <si>
    <t>xnullx</t>
  </si>
  <si>
    <t xml:space="preserve">zordan      </t>
  </si>
  <si>
    <t>queen of shadow</t>
  </si>
  <si>
    <t>ggfd</t>
  </si>
  <si>
    <t>StepanYT Ita Uk</t>
  </si>
  <si>
    <t>er samu</t>
  </si>
  <si>
    <t>salvuz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</si>
  <si>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</si>
  <si>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</si>
  <si>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</si>
  <si>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</si>
  <si>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</si>
  <si>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</si>
  <si>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</si>
  <si>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</si>
  <si>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</si>
  <si>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</si>
  <si>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</si>
  <si>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</si>
  <si>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</si>
  <si>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</si>
  <si>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</si>
  <si>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</si>
  <si>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</si>
  <si>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</si>
  <si>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</si>
  <si>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</si>
  <si>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</si>
  <si>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</si>
  <si>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</si>
  <si>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</si>
  <si>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</si>
  <si>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</si>
  <si>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</si>
  <si>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</si>
  <si>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</si>
  <si>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</si>
  <si>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</si>
  <si>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</si>
  <si>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</si>
  <si>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</si>
  <si>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</si>
  <si>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</si>
  <si>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</si>
  <si>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</si>
  <si>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</si>
  <si>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</si>
  <si>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</si>
  <si>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</si>
  <si>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</si>
  <si>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</si>
  <si>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</si>
  <si>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</si>
  <si>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</si>
  <si>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</si>
  <si>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</si>
  <si>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</si>
  <si>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</si>
  <si>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</si>
  <si>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</si>
  <si>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</si>
  <si>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</si>
  <si>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</si>
  <si>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</si>
  <si>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</si>
  <si>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</si>
  <si>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</si>
  <si>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</si>
  <si>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</si>
  <si>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</si>
  <si>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</si>
  <si>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</si>
  <si>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</si>
  <si>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</si>
  <si>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</si>
  <si>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</si>
  <si>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</si>
  <si>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</si>
  <si>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</si>
  <si>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</si>
  <si>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</si>
  <si>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</si>
  <si>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</si>
  <si>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</si>
  <si>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</si>
  <si>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</si>
  <si>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</si>
  <si>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</si>
  <si>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</si>
  <si>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</si>
  <si>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</si>
  <si>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</si>
  <si>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</si>
  <si>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</si>
  <si>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</si>
  <si>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</si>
  <si>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Anonymous</t>
  </si>
  <si>
    <t>ajaz064</t>
  </si>
  <si>
    <t>roberto</t>
  </si>
  <si>
    <t>cesadjsocc</t>
  </si>
  <si>
    <t>fhhgggf</t>
  </si>
  <si>
    <t>Matrox☆ita</t>
  </si>
  <si>
    <t>KAIZERS</t>
  </si>
  <si>
    <t>fre 2000</t>
  </si>
  <si>
    <t>zpercu</t>
  </si>
  <si>
    <t>SgherroMutante</t>
  </si>
  <si>
    <t>KingAleGolem03</t>
  </si>
  <si>
    <t>ale mugna</t>
  </si>
  <si>
    <t>ale 12</t>
  </si>
  <si>
    <t>marcobeltra._</t>
  </si>
  <si>
    <t>maragno</t>
  </si>
  <si>
    <t>vito</t>
  </si>
  <si>
    <t>rasim01</t>
  </si>
  <si>
    <t>Akemi</t>
  </si>
  <si>
    <t>PARTECIPANTI</t>
  </si>
  <si>
    <t>OUT</t>
  </si>
  <si>
    <t>TEST</t>
  </si>
  <si>
    <t xml:space="preserve"> </t>
  </si>
  <si>
    <t>leo (?)</t>
  </si>
  <si>
    <t>Stentaa</t>
  </si>
  <si>
    <t>xBlade</t>
  </si>
  <si>
    <t>Dem</t>
  </si>
  <si>
    <t>marcobeltra</t>
  </si>
  <si>
    <t>elatan</t>
  </si>
  <si>
    <t>matrox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</si>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</sst>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  <xf numFmtId="0" fontId="0" fillId="19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8" width="9.140625" style="4" customWidth="1"/>
    <col min="39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45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46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47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48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49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50</v>
      </c>
      <c r="B7" s="33" t="s">
        <v>9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51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52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16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53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54</v>
      </c>
      <c r="B12" s="11" t="s">
        <v>18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55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56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57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58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59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60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61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62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63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64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65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66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67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68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69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70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71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72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73</v>
      </c>
      <c r="B31" s="11" t="s">
        <v>74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38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75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40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76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2" width="9.140625" style="39" customWidth="1"/>
    <col min="33" max="16384" width="9.140625" style="39"/>
  </cols>
  <sheetData>
    <row r="1" spans="1:23" ht="15.75" customHeight="1" thickBot="1" x14ac:dyDescent="0.3"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45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77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47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78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9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48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49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52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51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56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53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55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16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58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18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79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57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65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24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60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19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61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80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62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81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70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82</v>
      </c>
      <c r="C29" s="40" t="s">
        <v>83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66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74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84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85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86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87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38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75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40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88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41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42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4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89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90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9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91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92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93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94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12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16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35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58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27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18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96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60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19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97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98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99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81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100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32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28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101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33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102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103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104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105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106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107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108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109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79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110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38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75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40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88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41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42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43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44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7" width="9.140625" style="4" customWidth="1"/>
    <col min="28" max="16384" width="9.140625" style="4"/>
  </cols>
  <sheetData>
    <row r="1" spans="1:24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3" t="s">
        <v>4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111</v>
      </c>
    </row>
    <row r="4" spans="1:24" x14ac:dyDescent="0.25">
      <c r="A4" s="39">
        <v>15</v>
      </c>
      <c r="B4" s="113" t="s">
        <v>5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111</v>
      </c>
    </row>
    <row r="5" spans="1:24" x14ac:dyDescent="0.25">
      <c r="A5" s="39">
        <v>14</v>
      </c>
      <c r="B5" s="113" t="s">
        <v>112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111</v>
      </c>
    </row>
    <row r="6" spans="1:24" x14ac:dyDescent="0.25">
      <c r="A6" s="39">
        <v>14</v>
      </c>
      <c r="B6" s="104" t="s">
        <v>7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113</v>
      </c>
    </row>
    <row r="7" spans="1:24" x14ac:dyDescent="0.25">
      <c r="A7" s="39">
        <v>14</v>
      </c>
      <c r="B7" s="104" t="s">
        <v>10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113</v>
      </c>
    </row>
    <row r="8" spans="1:24" x14ac:dyDescent="0.25">
      <c r="A8" s="39">
        <v>14</v>
      </c>
      <c r="B8" s="91" t="s">
        <v>9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111</v>
      </c>
    </row>
    <row r="9" spans="1:24" x14ac:dyDescent="0.25">
      <c r="A9" s="39">
        <v>14</v>
      </c>
      <c r="B9" s="104" t="s">
        <v>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111</v>
      </c>
    </row>
    <row r="10" spans="1:24" x14ac:dyDescent="0.25">
      <c r="A10" s="39">
        <v>14</v>
      </c>
      <c r="B10" s="104" t="s">
        <v>13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113</v>
      </c>
    </row>
    <row r="11" spans="1:24" x14ac:dyDescent="0.25">
      <c r="A11" s="39">
        <v>14</v>
      </c>
      <c r="B11" s="104" t="s">
        <v>15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113</v>
      </c>
    </row>
    <row r="12" spans="1:24" x14ac:dyDescent="0.25">
      <c r="A12" s="39">
        <v>14</v>
      </c>
      <c r="B12" s="104" t="s">
        <v>11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113</v>
      </c>
    </row>
    <row r="13" spans="1:24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113</v>
      </c>
    </row>
    <row r="14" spans="1:24" x14ac:dyDescent="0.25">
      <c r="A14" s="39">
        <v>13</v>
      </c>
      <c r="B14" s="113" t="s">
        <v>115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111</v>
      </c>
    </row>
    <row r="15" spans="1:24" x14ac:dyDescent="0.25">
      <c r="A15" s="39">
        <v>14</v>
      </c>
      <c r="B15" s="115" t="s">
        <v>94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113</v>
      </c>
    </row>
    <row r="16" spans="1:24" x14ac:dyDescent="0.25">
      <c r="A16" s="39">
        <v>13</v>
      </c>
      <c r="B16" s="113" t="s">
        <v>95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111</v>
      </c>
    </row>
    <row r="17" spans="1:24" x14ac:dyDescent="0.25">
      <c r="A17" s="39">
        <v>13</v>
      </c>
      <c r="B17" s="91" t="s">
        <v>16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18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19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113</v>
      </c>
    </row>
    <row r="20" spans="1:24" x14ac:dyDescent="0.25">
      <c r="A20" s="39">
        <v>13</v>
      </c>
      <c r="B20" s="104" t="s">
        <v>116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113</v>
      </c>
    </row>
    <row r="21" spans="1:24" x14ac:dyDescent="0.25">
      <c r="A21" s="39">
        <v>13</v>
      </c>
      <c r="B21" s="91" t="s">
        <v>60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98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99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96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27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24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32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28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113</v>
      </c>
    </row>
    <row r="29" spans="1:24" ht="15.75" customHeight="1" thickBot="1" x14ac:dyDescent="0.3">
      <c r="A29" s="39">
        <v>12</v>
      </c>
      <c r="B29" s="91" t="s">
        <v>33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102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113</v>
      </c>
    </row>
    <row r="31" spans="1:24" ht="15.75" customHeight="1" thickBot="1" x14ac:dyDescent="0.3">
      <c r="A31" s="39">
        <v>12</v>
      </c>
      <c r="B31" s="91" t="s">
        <v>117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113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118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35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35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36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37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38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39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40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41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41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42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43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44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workbookViewId="0">
      <selection activeCell="Y35" sqref="Y35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8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8" x14ac:dyDescent="0.25">
      <c r="A3" s="39">
        <v>17</v>
      </c>
      <c r="B3" s="40" t="s">
        <v>4</v>
      </c>
      <c r="C3" s="40"/>
      <c r="D3" s="39" t="s">
        <v>119</v>
      </c>
      <c r="E3" s="41"/>
      <c r="F3" s="40"/>
      <c r="G3" s="55"/>
      <c r="H3" s="41"/>
      <c r="I3" s="40"/>
      <c r="J3" s="39" t="s">
        <v>111</v>
      </c>
      <c r="K3" s="6"/>
      <c r="L3" s="40"/>
      <c r="M3" s="55"/>
      <c r="N3" s="41"/>
      <c r="O3" s="40"/>
      <c r="P3" s="39" t="s">
        <v>111</v>
      </c>
      <c r="Q3" s="41"/>
      <c r="R3" s="39"/>
      <c r="S3" s="55"/>
      <c r="T3" s="41"/>
      <c r="U3" s="40"/>
      <c r="V3" s="39" t="s">
        <v>111</v>
      </c>
      <c r="W3" s="41"/>
    </row>
    <row r="4" spans="1:28" x14ac:dyDescent="0.25">
      <c r="A4" s="39">
        <v>16</v>
      </c>
      <c r="B4" s="40" t="s">
        <v>5</v>
      </c>
      <c r="C4" s="40"/>
      <c r="D4" s="55"/>
      <c r="E4" s="41"/>
      <c r="F4" s="40"/>
      <c r="G4" s="39"/>
      <c r="H4" s="41"/>
      <c r="I4" s="40"/>
      <c r="J4" s="39"/>
      <c r="K4" s="6"/>
      <c r="L4" s="40"/>
      <c r="M4" s="39" t="s">
        <v>111</v>
      </c>
      <c r="N4" s="41"/>
      <c r="O4" s="40"/>
      <c r="P4" s="39" t="s">
        <v>111</v>
      </c>
      <c r="Q4" s="41"/>
      <c r="R4" s="39"/>
      <c r="S4" s="39" t="s">
        <v>111</v>
      </c>
      <c r="T4" s="41"/>
      <c r="U4" s="40"/>
      <c r="V4" s="39" t="s">
        <v>111</v>
      </c>
      <c r="W4" s="41"/>
    </row>
    <row r="5" spans="1:28" x14ac:dyDescent="0.25">
      <c r="A5" s="39">
        <v>15</v>
      </c>
      <c r="B5" s="40" t="s">
        <v>7</v>
      </c>
      <c r="C5" s="40"/>
      <c r="D5" s="39" t="s">
        <v>119</v>
      </c>
      <c r="E5" s="41"/>
      <c r="F5" s="40"/>
      <c r="G5" s="39" t="s">
        <v>119</v>
      </c>
      <c r="H5" s="41"/>
      <c r="I5" s="40"/>
      <c r="J5" s="39" t="s">
        <v>111</v>
      </c>
      <c r="K5" s="6"/>
      <c r="L5" s="40"/>
      <c r="M5" s="39" t="s">
        <v>111</v>
      </c>
      <c r="N5" s="41"/>
      <c r="O5" s="40"/>
      <c r="P5" s="39" t="s">
        <v>111</v>
      </c>
      <c r="Q5" s="41"/>
      <c r="R5" s="39"/>
      <c r="S5" s="39" t="s">
        <v>111</v>
      </c>
      <c r="T5" s="41"/>
      <c r="U5" s="40"/>
      <c r="V5" s="39" t="s">
        <v>111</v>
      </c>
      <c r="W5" s="41"/>
    </row>
    <row r="6" spans="1:28" x14ac:dyDescent="0.25">
      <c r="A6" s="39">
        <v>15</v>
      </c>
      <c r="B6" s="40" t="s">
        <v>8</v>
      </c>
      <c r="C6" s="40"/>
      <c r="D6" s="39" t="s">
        <v>119</v>
      </c>
      <c r="E6" s="41"/>
      <c r="F6" s="40"/>
      <c r="G6" s="39" t="s">
        <v>119</v>
      </c>
      <c r="H6" s="41"/>
      <c r="I6" s="40"/>
      <c r="J6" s="39" t="s">
        <v>111</v>
      </c>
      <c r="K6" s="6"/>
      <c r="L6" s="40"/>
      <c r="M6" s="39" t="s">
        <v>111</v>
      </c>
      <c r="N6" s="41"/>
      <c r="O6" s="40"/>
      <c r="P6" s="39" t="s">
        <v>111</v>
      </c>
      <c r="Q6" s="41"/>
      <c r="R6" s="39"/>
      <c r="S6" s="39" t="s">
        <v>111</v>
      </c>
      <c r="T6" s="41"/>
      <c r="U6" s="40"/>
      <c r="V6" s="39" t="s">
        <v>111</v>
      </c>
      <c r="W6" s="41"/>
    </row>
    <row r="7" spans="1:28" x14ac:dyDescent="0.25">
      <c r="A7" s="39">
        <v>15</v>
      </c>
      <c r="B7" s="40" t="s">
        <v>9</v>
      </c>
      <c r="C7" s="40"/>
      <c r="D7" s="39" t="s">
        <v>119</v>
      </c>
      <c r="E7" s="41"/>
      <c r="F7" s="40"/>
      <c r="G7" s="39" t="s">
        <v>119</v>
      </c>
      <c r="H7" s="41"/>
      <c r="I7" s="40"/>
      <c r="J7" s="39" t="s">
        <v>111</v>
      </c>
      <c r="K7" s="6"/>
      <c r="L7" s="40"/>
      <c r="M7" s="39" t="s">
        <v>111</v>
      </c>
      <c r="N7" s="41"/>
      <c r="O7" s="40"/>
      <c r="P7" s="39" t="s">
        <v>111</v>
      </c>
      <c r="Q7" s="41"/>
      <c r="R7" s="39"/>
      <c r="S7" s="39" t="s">
        <v>111</v>
      </c>
      <c r="T7" s="41"/>
      <c r="U7" s="40"/>
      <c r="V7" s="39" t="s">
        <v>111</v>
      </c>
      <c r="W7" s="41"/>
      <c r="AB7" t="s">
        <v>120</v>
      </c>
    </row>
    <row r="8" spans="1:28" x14ac:dyDescent="0.25">
      <c r="A8" s="39">
        <v>15</v>
      </c>
      <c r="B8" s="40" t="s">
        <v>10</v>
      </c>
      <c r="C8" s="40"/>
      <c r="D8" s="39" t="s">
        <v>119</v>
      </c>
      <c r="E8" s="41"/>
      <c r="F8" s="40"/>
      <c r="G8" s="39" t="s">
        <v>119</v>
      </c>
      <c r="H8" s="41"/>
      <c r="I8" s="40"/>
      <c r="J8" s="39" t="s">
        <v>111</v>
      </c>
      <c r="K8" s="6"/>
      <c r="L8" s="40"/>
      <c r="M8" s="39" t="s">
        <v>111</v>
      </c>
      <c r="N8" s="41"/>
      <c r="O8" s="40"/>
      <c r="P8" s="55"/>
      <c r="Q8" s="41"/>
      <c r="R8" s="39"/>
      <c r="S8" s="39" t="s">
        <v>111</v>
      </c>
      <c r="T8" s="41"/>
      <c r="U8" s="40"/>
      <c r="V8" s="39" t="s">
        <v>111</v>
      </c>
      <c r="W8" s="41"/>
    </row>
    <row r="9" spans="1:28" x14ac:dyDescent="0.25">
      <c r="A9" s="39">
        <v>15</v>
      </c>
      <c r="B9" s="40" t="s">
        <v>11</v>
      </c>
      <c r="C9" s="40"/>
      <c r="D9" s="39" t="s">
        <v>119</v>
      </c>
      <c r="E9" s="41"/>
      <c r="F9" s="40"/>
      <c r="G9" s="39" t="s">
        <v>119</v>
      </c>
      <c r="H9" s="41"/>
      <c r="I9" s="40"/>
      <c r="J9" s="8"/>
      <c r="K9" s="6"/>
      <c r="L9" s="40"/>
      <c r="M9" s="39" t="s">
        <v>111</v>
      </c>
      <c r="N9" s="41"/>
      <c r="O9" s="40"/>
      <c r="P9" s="39" t="s">
        <v>111</v>
      </c>
      <c r="Q9" s="41"/>
      <c r="R9" s="39"/>
      <c r="S9" s="39" t="s">
        <v>111</v>
      </c>
      <c r="T9" s="41"/>
      <c r="U9" s="40"/>
      <c r="V9" s="39" t="s">
        <v>111</v>
      </c>
      <c r="W9" s="41"/>
    </row>
    <row r="10" spans="1:28" s="142" customFormat="1" x14ac:dyDescent="0.25">
      <c r="A10" s="137"/>
      <c r="B10" s="138"/>
      <c r="C10" s="138"/>
      <c r="D10" s="137"/>
      <c r="E10" s="141"/>
      <c r="F10" s="138"/>
      <c r="G10" s="137"/>
      <c r="H10" s="141"/>
      <c r="I10" s="138"/>
      <c r="J10" s="145"/>
      <c r="K10" s="146"/>
      <c r="L10" s="138"/>
      <c r="M10" s="137"/>
      <c r="N10" s="141"/>
      <c r="O10" s="138"/>
      <c r="P10" s="137"/>
      <c r="Q10" s="141"/>
      <c r="R10" s="137"/>
      <c r="S10" s="137"/>
      <c r="T10" s="141"/>
      <c r="U10" s="138"/>
      <c r="V10" s="137"/>
      <c r="W10" s="141"/>
    </row>
    <row r="11" spans="1:28" x14ac:dyDescent="0.25">
      <c r="A11" s="39">
        <v>15</v>
      </c>
      <c r="B11" s="40" t="s">
        <v>13</v>
      </c>
      <c r="C11" s="40"/>
      <c r="D11" s="39" t="s">
        <v>119</v>
      </c>
      <c r="E11" s="41"/>
      <c r="F11" s="40"/>
      <c r="G11" s="55"/>
      <c r="H11" s="41"/>
      <c r="I11" s="40"/>
      <c r="J11" s="4" t="s">
        <v>111</v>
      </c>
      <c r="K11" s="6"/>
      <c r="L11" s="40"/>
      <c r="M11" s="39" t="s">
        <v>111</v>
      </c>
      <c r="N11" s="41"/>
      <c r="O11" s="40"/>
      <c r="P11" s="39" t="s">
        <v>111</v>
      </c>
      <c r="Q11" s="41"/>
      <c r="R11" s="39"/>
      <c r="S11" s="39" t="s">
        <v>111</v>
      </c>
      <c r="T11" s="41"/>
      <c r="U11" s="40"/>
      <c r="V11" s="39" t="s">
        <v>111</v>
      </c>
      <c r="W11" s="41"/>
    </row>
    <row r="12" spans="1:28" x14ac:dyDescent="0.25">
      <c r="A12" s="39">
        <v>14</v>
      </c>
      <c r="B12" s="40" t="s">
        <v>14</v>
      </c>
      <c r="C12" s="40"/>
      <c r="D12" s="39" t="s">
        <v>119</v>
      </c>
      <c r="E12" s="41"/>
      <c r="F12" s="40"/>
      <c r="G12" s="39" t="s">
        <v>119</v>
      </c>
      <c r="H12" s="41"/>
      <c r="I12" s="40"/>
      <c r="J12" s="4" t="s">
        <v>111</v>
      </c>
      <c r="K12" s="6"/>
      <c r="L12" s="40"/>
      <c r="M12" s="39" t="s">
        <v>111</v>
      </c>
      <c r="N12" s="41"/>
      <c r="O12" s="40"/>
      <c r="P12" s="39" t="s">
        <v>111</v>
      </c>
      <c r="Q12" s="41"/>
      <c r="R12" s="39"/>
      <c r="S12" s="39" t="s">
        <v>111</v>
      </c>
      <c r="T12" s="41"/>
      <c r="U12" s="40"/>
      <c r="V12" s="39" t="s">
        <v>111</v>
      </c>
      <c r="W12" s="41"/>
    </row>
    <row r="13" spans="1:28" x14ac:dyDescent="0.25">
      <c r="A13" s="39">
        <v>14</v>
      </c>
      <c r="B13" s="79" t="s">
        <v>15</v>
      </c>
      <c r="C13" s="40"/>
      <c r="D13" s="39" t="s">
        <v>119</v>
      </c>
      <c r="E13" s="41"/>
      <c r="F13" s="40"/>
      <c r="G13" s="55"/>
      <c r="H13" s="41"/>
      <c r="I13" s="40"/>
      <c r="J13" s="4" t="s">
        <v>111</v>
      </c>
      <c r="K13" s="41"/>
      <c r="L13" s="40"/>
      <c r="M13" s="55"/>
      <c r="N13" s="41"/>
      <c r="O13" s="40"/>
      <c r="P13" s="39" t="s">
        <v>111</v>
      </c>
      <c r="Q13" s="41"/>
      <c r="R13" s="39"/>
      <c r="S13" s="39" t="s">
        <v>111</v>
      </c>
      <c r="T13" s="41"/>
      <c r="U13" s="40"/>
      <c r="V13" s="39" t="s">
        <v>111</v>
      </c>
      <c r="W13" s="41"/>
    </row>
    <row r="14" spans="1:28" x14ac:dyDescent="0.25">
      <c r="A14" s="39">
        <v>14</v>
      </c>
      <c r="B14" s="40" t="s">
        <v>16</v>
      </c>
      <c r="C14" s="40"/>
      <c r="D14" s="39" t="s">
        <v>119</v>
      </c>
      <c r="E14" s="41"/>
      <c r="F14" s="40"/>
      <c r="G14" s="39" t="s">
        <v>119</v>
      </c>
      <c r="H14" s="41"/>
      <c r="I14" s="40"/>
      <c r="J14" s="39" t="s">
        <v>111</v>
      </c>
      <c r="K14" s="41"/>
      <c r="L14" s="40"/>
      <c r="M14" s="39" t="s">
        <v>111</v>
      </c>
      <c r="N14" s="41"/>
      <c r="O14" s="40"/>
      <c r="P14" s="39" t="s">
        <v>111</v>
      </c>
      <c r="Q14" s="41"/>
      <c r="R14" s="39"/>
      <c r="S14" s="39" t="s">
        <v>111</v>
      </c>
      <c r="T14" s="41"/>
      <c r="U14" s="40"/>
      <c r="V14" s="39" t="s">
        <v>111</v>
      </c>
      <c r="W14" s="41"/>
    </row>
    <row r="15" spans="1:28" x14ac:dyDescent="0.25">
      <c r="A15" s="39">
        <v>14</v>
      </c>
      <c r="B15" s="5" t="s">
        <v>17</v>
      </c>
      <c r="C15" s="40"/>
      <c r="D15" s="39" t="s">
        <v>119</v>
      </c>
      <c r="E15" s="41"/>
      <c r="F15" s="40"/>
      <c r="G15" s="55"/>
      <c r="H15" s="41"/>
      <c r="I15" s="40"/>
      <c r="J15" s="4" t="s">
        <v>111</v>
      </c>
      <c r="K15" s="41"/>
      <c r="L15" s="40"/>
      <c r="M15" s="55"/>
      <c r="N15" s="41"/>
      <c r="O15" s="40"/>
      <c r="P15" s="39" t="s">
        <v>111</v>
      </c>
      <c r="Q15" s="41"/>
      <c r="R15" s="39"/>
      <c r="S15" s="39" t="s">
        <v>111</v>
      </c>
      <c r="T15" s="41"/>
      <c r="U15" s="40"/>
      <c r="V15" s="39" t="s">
        <v>111</v>
      </c>
      <c r="W15" s="41"/>
    </row>
    <row r="16" spans="1:28" x14ac:dyDescent="0.25">
      <c r="A16" s="39">
        <v>14</v>
      </c>
      <c r="B16" s="40" t="s">
        <v>18</v>
      </c>
      <c r="C16" s="40"/>
      <c r="D16" s="39" t="s">
        <v>119</v>
      </c>
      <c r="E16" s="41"/>
      <c r="F16" s="40"/>
      <c r="G16" s="39" t="s">
        <v>119</v>
      </c>
      <c r="H16" s="41"/>
      <c r="I16" s="40"/>
      <c r="J16" s="39" t="s">
        <v>111</v>
      </c>
      <c r="K16" s="41"/>
      <c r="L16" s="40"/>
      <c r="M16" s="39" t="s">
        <v>111</v>
      </c>
      <c r="N16" s="41"/>
      <c r="O16" s="40"/>
      <c r="P16" s="39" t="s">
        <v>111</v>
      </c>
      <c r="Q16" s="41"/>
      <c r="R16" s="39"/>
      <c r="S16" s="39" t="s">
        <v>111</v>
      </c>
      <c r="T16" s="41"/>
      <c r="U16" s="40"/>
      <c r="V16" s="39" t="s">
        <v>111</v>
      </c>
      <c r="W16" s="41"/>
    </row>
    <row r="17" spans="1:23" x14ac:dyDescent="0.25">
      <c r="A17" s="39">
        <v>14</v>
      </c>
      <c r="B17" s="40" t="s">
        <v>19</v>
      </c>
      <c r="C17" s="40"/>
      <c r="D17" s="39" t="s">
        <v>119</v>
      </c>
      <c r="E17" s="41"/>
      <c r="F17" s="83"/>
      <c r="G17" s="39" t="s">
        <v>119</v>
      </c>
      <c r="H17" s="41"/>
      <c r="I17" s="40"/>
      <c r="J17" s="39" t="s">
        <v>111</v>
      </c>
      <c r="K17" s="41"/>
      <c r="L17" s="40"/>
      <c r="M17" s="39" t="s">
        <v>111</v>
      </c>
      <c r="N17" s="41"/>
      <c r="O17" s="40"/>
      <c r="P17" s="39" t="s">
        <v>111</v>
      </c>
      <c r="Q17" s="41"/>
      <c r="R17" s="39"/>
      <c r="S17" s="39" t="s">
        <v>111</v>
      </c>
      <c r="T17" s="41"/>
      <c r="U17" s="40"/>
      <c r="V17" s="39" t="s">
        <v>111</v>
      </c>
      <c r="W17" s="41"/>
    </row>
    <row r="18" spans="1:23" x14ac:dyDescent="0.25">
      <c r="A18" s="39">
        <v>14</v>
      </c>
      <c r="B18" s="40" t="s">
        <v>20</v>
      </c>
      <c r="C18" s="40"/>
      <c r="D18" s="39" t="s">
        <v>119</v>
      </c>
      <c r="E18" s="41"/>
      <c r="F18" s="40"/>
      <c r="G18" s="39" t="s">
        <v>119</v>
      </c>
      <c r="H18" s="41"/>
      <c r="I18" s="40"/>
      <c r="J18" s="39" t="s">
        <v>111</v>
      </c>
      <c r="K18" s="41"/>
      <c r="L18" s="40"/>
      <c r="M18" s="39" t="s">
        <v>111</v>
      </c>
      <c r="N18" s="41"/>
      <c r="O18" s="40"/>
      <c r="P18" s="39" t="s">
        <v>111</v>
      </c>
      <c r="Q18" s="41"/>
      <c r="R18" s="39"/>
      <c r="S18" s="39" t="s">
        <v>111</v>
      </c>
      <c r="T18" s="41"/>
      <c r="U18" s="40"/>
      <c r="V18" s="39" t="s">
        <v>111</v>
      </c>
      <c r="W18" s="41"/>
    </row>
    <row r="19" spans="1:23" s="142" customFormat="1" x14ac:dyDescent="0.25">
      <c r="A19" s="137"/>
      <c r="B19" s="138"/>
      <c r="C19" s="138"/>
      <c r="D19" s="137"/>
      <c r="E19" s="141"/>
      <c r="F19" s="138"/>
      <c r="G19" s="137"/>
      <c r="H19" s="141"/>
      <c r="I19" s="138"/>
      <c r="J19" s="137"/>
      <c r="K19" s="141"/>
      <c r="L19" s="138"/>
      <c r="M19" s="137"/>
      <c r="N19" s="141"/>
      <c r="O19" s="138"/>
      <c r="P19" s="137"/>
      <c r="Q19" s="64"/>
      <c r="R19" s="137"/>
      <c r="S19" s="137"/>
      <c r="T19" s="141"/>
      <c r="U19" s="138"/>
      <c r="V19" s="137"/>
      <c r="W19" s="141"/>
    </row>
    <row r="20" spans="1:23" s="142" customFormat="1" x14ac:dyDescent="0.25">
      <c r="A20" s="137"/>
      <c r="B20" s="138"/>
      <c r="C20" s="138"/>
      <c r="D20" s="137"/>
      <c r="E20" s="141"/>
      <c r="F20" s="138"/>
      <c r="G20" s="137"/>
      <c r="H20" s="141"/>
      <c r="I20" s="138"/>
      <c r="J20" s="137"/>
      <c r="K20" s="144"/>
      <c r="L20" s="138"/>
      <c r="M20" s="137"/>
      <c r="N20" s="141"/>
      <c r="O20" s="138"/>
      <c r="P20" s="137"/>
      <c r="Q20" s="141"/>
      <c r="R20" s="137"/>
      <c r="S20" s="137"/>
      <c r="T20" s="141"/>
      <c r="U20" s="138"/>
      <c r="V20" s="137"/>
      <c r="W20" s="141"/>
    </row>
    <row r="21" spans="1:23" x14ac:dyDescent="0.25">
      <c r="A21" s="39">
        <v>14</v>
      </c>
      <c r="B21" s="40" t="s">
        <v>23</v>
      </c>
      <c r="C21" s="40"/>
      <c r="D21" s="39"/>
      <c r="E21" s="41"/>
      <c r="F21" s="40"/>
      <c r="G21" s="39" t="s">
        <v>119</v>
      </c>
      <c r="H21" s="41"/>
      <c r="I21" s="40"/>
      <c r="J21" s="39" t="s">
        <v>111</v>
      </c>
      <c r="K21" s="42"/>
      <c r="L21" s="40"/>
      <c r="M21" s="39" t="s">
        <v>111</v>
      </c>
      <c r="N21" s="41"/>
      <c r="O21" s="40"/>
      <c r="P21" s="39" t="s">
        <v>111</v>
      </c>
      <c r="Q21" s="41"/>
      <c r="R21" s="39"/>
      <c r="S21" s="39" t="s">
        <v>111</v>
      </c>
      <c r="T21" s="41"/>
      <c r="U21" s="40"/>
      <c r="V21" s="39" t="s">
        <v>111</v>
      </c>
      <c r="W21" s="41"/>
    </row>
    <row r="22" spans="1:23" x14ac:dyDescent="0.25">
      <c r="A22" s="39">
        <v>13</v>
      </c>
      <c r="B22" s="40" t="s">
        <v>24</v>
      </c>
      <c r="C22" s="40"/>
      <c r="D22" s="39" t="s">
        <v>119</v>
      </c>
      <c r="E22" s="41"/>
      <c r="F22" s="40"/>
      <c r="G22" s="39" t="s">
        <v>119</v>
      </c>
      <c r="H22" s="41"/>
      <c r="I22" s="40"/>
      <c r="J22" s="39" t="s">
        <v>111</v>
      </c>
      <c r="K22" s="42"/>
      <c r="L22" s="40"/>
      <c r="M22" s="39" t="s">
        <v>111</v>
      </c>
      <c r="N22" s="41"/>
      <c r="O22" s="40"/>
      <c r="P22" s="39" t="s">
        <v>111</v>
      </c>
      <c r="Q22" s="41"/>
      <c r="R22" s="39"/>
      <c r="S22" s="39" t="s">
        <v>111</v>
      </c>
      <c r="T22" s="41"/>
      <c r="U22" s="40"/>
      <c r="V22" s="39" t="s">
        <v>111</v>
      </c>
      <c r="W22" s="41"/>
    </row>
    <row r="23" spans="1:23" x14ac:dyDescent="0.25">
      <c r="A23" s="39">
        <v>13</v>
      </c>
      <c r="B23" s="40" t="s">
        <v>25</v>
      </c>
      <c r="C23" s="40"/>
      <c r="D23" s="39" t="s">
        <v>119</v>
      </c>
      <c r="E23" s="41"/>
      <c r="F23" s="40"/>
      <c r="G23" s="39" t="s">
        <v>119</v>
      </c>
      <c r="H23" s="41"/>
      <c r="I23" s="40"/>
      <c r="J23" s="39" t="s">
        <v>111</v>
      </c>
      <c r="K23" s="41"/>
      <c r="L23" s="40"/>
      <c r="M23" s="39" t="s">
        <v>111</v>
      </c>
      <c r="N23" s="41"/>
      <c r="O23" s="40"/>
      <c r="P23" s="39" t="s">
        <v>111</v>
      </c>
      <c r="Q23" s="41"/>
      <c r="R23" s="39"/>
      <c r="S23" s="39" t="s">
        <v>111</v>
      </c>
      <c r="T23" s="41"/>
      <c r="U23" s="40"/>
      <c r="V23" s="39" t="s">
        <v>111</v>
      </c>
      <c r="W23" s="41"/>
    </row>
    <row r="24" spans="1:23" x14ac:dyDescent="0.25">
      <c r="A24" s="39">
        <v>13</v>
      </c>
      <c r="B24" s="40" t="s">
        <v>26</v>
      </c>
      <c r="C24" s="40"/>
      <c r="D24" s="39"/>
      <c r="E24" s="41"/>
      <c r="F24" s="40"/>
      <c r="G24" s="39" t="s">
        <v>119</v>
      </c>
      <c r="H24" s="41"/>
      <c r="I24" s="40"/>
      <c r="J24" s="39" t="s">
        <v>111</v>
      </c>
      <c r="K24" s="41"/>
      <c r="L24" s="40"/>
      <c r="M24" s="39" t="s">
        <v>111</v>
      </c>
      <c r="N24" s="41"/>
      <c r="O24" s="40"/>
      <c r="P24" s="39" t="s">
        <v>111</v>
      </c>
      <c r="Q24" s="41"/>
      <c r="R24" s="39"/>
      <c r="S24" s="39" t="s">
        <v>111</v>
      </c>
      <c r="T24" s="41"/>
      <c r="U24" s="40"/>
      <c r="V24" s="39" t="s">
        <v>111</v>
      </c>
      <c r="W24" s="41"/>
    </row>
    <row r="25" spans="1:23" x14ac:dyDescent="0.25">
      <c r="A25" s="39">
        <v>13</v>
      </c>
      <c r="B25" s="40" t="s">
        <v>27</v>
      </c>
      <c r="C25" s="40"/>
      <c r="D25" s="39" t="s">
        <v>119</v>
      </c>
      <c r="E25" s="41"/>
      <c r="F25" s="40"/>
      <c r="G25" s="39" t="s">
        <v>119</v>
      </c>
      <c r="H25" s="41"/>
      <c r="I25" s="40"/>
      <c r="J25" s="39" t="s">
        <v>111</v>
      </c>
      <c r="K25" s="41"/>
      <c r="L25" s="40"/>
      <c r="M25" s="39" t="s">
        <v>111</v>
      </c>
      <c r="N25" s="41"/>
      <c r="O25" s="40"/>
      <c r="P25" s="39" t="s">
        <v>111</v>
      </c>
      <c r="Q25" s="41"/>
      <c r="R25" s="39"/>
      <c r="S25" s="39" t="s">
        <v>111</v>
      </c>
      <c r="T25" s="41"/>
      <c r="U25" s="40"/>
      <c r="V25" s="39" t="s">
        <v>111</v>
      </c>
      <c r="W25" s="41"/>
    </row>
    <row r="26" spans="1:23" x14ac:dyDescent="0.25">
      <c r="A26" s="39">
        <v>13</v>
      </c>
      <c r="B26" s="40" t="s">
        <v>28</v>
      </c>
      <c r="C26" s="40"/>
      <c r="D26" s="39" t="s">
        <v>119</v>
      </c>
      <c r="E26" s="41"/>
      <c r="F26" s="40"/>
      <c r="G26" s="39"/>
      <c r="H26" s="41"/>
      <c r="I26" s="40"/>
      <c r="J26" s="55"/>
      <c r="K26" s="41"/>
      <c r="L26" s="40"/>
      <c r="M26" s="55"/>
      <c r="N26" s="41"/>
      <c r="O26" s="40"/>
      <c r="P26" s="39" t="s">
        <v>111</v>
      </c>
      <c r="Q26" s="41"/>
      <c r="R26" s="39"/>
      <c r="S26" s="39" t="s">
        <v>111</v>
      </c>
      <c r="T26" s="41"/>
      <c r="U26" s="40"/>
      <c r="V26" s="39" t="s">
        <v>111</v>
      </c>
      <c r="W26" s="41"/>
    </row>
    <row r="27" spans="1:23" x14ac:dyDescent="0.25">
      <c r="A27" s="39">
        <v>13</v>
      </c>
      <c r="B27" s="40" t="s">
        <v>29</v>
      </c>
      <c r="C27" s="40"/>
      <c r="D27" s="39"/>
      <c r="E27" s="41"/>
      <c r="F27" s="40"/>
      <c r="G27" s="39" t="s">
        <v>119</v>
      </c>
      <c r="H27" s="41"/>
      <c r="I27" s="40"/>
      <c r="J27" s="39" t="s">
        <v>111</v>
      </c>
      <c r="K27" s="41"/>
      <c r="L27" s="40"/>
      <c r="M27" s="39" t="s">
        <v>111</v>
      </c>
      <c r="N27" s="41"/>
      <c r="O27" s="40"/>
      <c r="P27" s="39" t="s">
        <v>111</v>
      </c>
      <c r="Q27" s="41"/>
      <c r="R27" s="39"/>
      <c r="S27" s="39" t="s">
        <v>111</v>
      </c>
      <c r="T27" s="41"/>
      <c r="U27" s="40"/>
      <c r="V27" s="39" t="s">
        <v>111</v>
      </c>
      <c r="W27" s="41"/>
    </row>
    <row r="28" spans="1:23" s="142" customFormat="1" x14ac:dyDescent="0.25">
      <c r="A28" s="137"/>
      <c r="B28" s="138"/>
      <c r="C28" s="138"/>
      <c r="D28" s="137"/>
      <c r="E28" s="141"/>
      <c r="F28" s="138"/>
      <c r="G28" s="137"/>
      <c r="H28" s="141"/>
      <c r="I28" s="138"/>
      <c r="J28" s="137"/>
      <c r="K28" s="141"/>
      <c r="L28" s="138"/>
      <c r="M28" s="137"/>
      <c r="N28" s="141"/>
      <c r="O28" s="138"/>
      <c r="P28" s="137"/>
      <c r="Q28" s="141"/>
      <c r="R28" s="137"/>
      <c r="S28" s="137"/>
      <c r="T28" s="141"/>
      <c r="U28" s="138"/>
      <c r="V28" s="137"/>
      <c r="W28" s="143"/>
    </row>
    <row r="29" spans="1:23" s="142" customFormat="1" x14ac:dyDescent="0.25">
      <c r="A29" s="137"/>
      <c r="B29" s="138"/>
      <c r="C29" s="138"/>
      <c r="D29" s="137"/>
      <c r="E29" s="141"/>
      <c r="F29" s="138"/>
      <c r="G29" s="137"/>
      <c r="H29" s="141"/>
      <c r="I29" s="138"/>
      <c r="J29" s="137"/>
      <c r="K29" s="141"/>
      <c r="L29" s="138"/>
      <c r="M29" s="137"/>
      <c r="N29" s="141"/>
      <c r="O29" s="138"/>
      <c r="P29" s="137"/>
      <c r="Q29" s="141"/>
      <c r="R29" s="137"/>
      <c r="S29" s="137"/>
      <c r="T29" s="141"/>
      <c r="U29" s="138"/>
      <c r="V29" s="137"/>
      <c r="W29" s="141"/>
    </row>
    <row r="30" spans="1:23" x14ac:dyDescent="0.25">
      <c r="A30" s="39">
        <v>13</v>
      </c>
      <c r="B30" s="40" t="s">
        <v>32</v>
      </c>
      <c r="C30" s="40"/>
      <c r="D30" s="39"/>
      <c r="E30" s="41"/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42" customFormat="1" ht="15.75" customHeight="1" thickBot="1" x14ac:dyDescent="0.3">
      <c r="A31" s="137"/>
      <c r="B31" s="138"/>
      <c r="C31" s="138"/>
      <c r="D31" s="139"/>
      <c r="E31" s="140"/>
      <c r="F31" s="138"/>
      <c r="G31" s="137"/>
      <c r="H31" s="141"/>
      <c r="I31" s="138"/>
      <c r="J31" s="137"/>
      <c r="K31" s="141"/>
      <c r="L31" s="138"/>
      <c r="M31" s="137"/>
      <c r="N31" s="141"/>
      <c r="O31" s="138"/>
      <c r="P31" s="137"/>
      <c r="Q31" s="141"/>
      <c r="R31" s="137"/>
      <c r="S31" s="137"/>
      <c r="T31" s="141"/>
      <c r="U31" s="138"/>
      <c r="V31" s="137"/>
      <c r="W31" s="141"/>
    </row>
    <row r="32" spans="1:23" ht="15.75" customHeight="1" thickBot="1" x14ac:dyDescent="0.3">
      <c r="A32" s="39">
        <v>12</v>
      </c>
      <c r="B32" s="40" t="s">
        <v>33</v>
      </c>
      <c r="C32" s="40"/>
      <c r="D32" s="39" t="s">
        <v>119</v>
      </c>
      <c r="E32" s="41"/>
      <c r="F32" s="40"/>
      <c r="G32" s="39" t="s">
        <v>119</v>
      </c>
      <c r="H32" s="41"/>
      <c r="I32" s="40"/>
      <c r="J32" s="39" t="s">
        <v>111</v>
      </c>
      <c r="K32" s="41"/>
      <c r="L32" s="40"/>
      <c r="M32" s="39" t="s">
        <v>111</v>
      </c>
      <c r="N32" s="41"/>
      <c r="O32" s="40"/>
      <c r="P32" s="39" t="s">
        <v>111</v>
      </c>
      <c r="Q32" s="41"/>
      <c r="R32" s="39"/>
      <c r="S32" s="39" t="s">
        <v>111</v>
      </c>
      <c r="T32" s="41"/>
      <c r="U32" s="40"/>
      <c r="V32" s="39" t="s">
        <v>111</v>
      </c>
      <c r="W32" s="41"/>
    </row>
    <row r="33" spans="1:23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61"/>
  <sheetViews>
    <sheetView workbookViewId="0">
      <selection activeCell="B18" sqref="B18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 customWidth="1"/>
    <col min="8" max="8" width="9.140625" style="121" customWidth="1"/>
    <col min="9" max="9" width="9.140625" style="120" customWidth="1"/>
    <col min="11" max="11" width="9.140625" style="121" customWidth="1"/>
    <col min="12" max="12" width="9.140625" style="120" customWidth="1"/>
    <col min="14" max="14" width="9.140625" style="121" customWidth="1"/>
    <col min="15" max="15" width="9.140625" style="120" customWidth="1"/>
    <col min="17" max="17" width="9.140625" style="121" customWidth="1"/>
  </cols>
  <sheetData>
    <row r="1" spans="1:27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  <c r="X1" s="4"/>
      <c r="Y1" s="4"/>
      <c r="Z1" s="4"/>
      <c r="AA1" s="4"/>
    </row>
    <row r="2" spans="1:27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  <c r="X2" s="4"/>
      <c r="Y2" s="4"/>
      <c r="Z2" s="4"/>
      <c r="AA2" s="4"/>
    </row>
    <row r="3" spans="1:27" x14ac:dyDescent="0.25">
      <c r="A3" s="39">
        <v>17</v>
      </c>
      <c r="B3" s="132" t="s">
        <v>4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>
        <v>1</v>
      </c>
      <c r="Q3" s="41">
        <v>3</v>
      </c>
      <c r="R3" s="39"/>
      <c r="S3" s="39">
        <v>-1</v>
      </c>
      <c r="T3" s="41">
        <v>3</v>
      </c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5</v>
      </c>
      <c r="C4" s="40"/>
      <c r="D4" s="39">
        <v>1</v>
      </c>
      <c r="E4" s="41">
        <v>2</v>
      </c>
      <c r="F4" s="40"/>
      <c r="G4" s="55" t="s">
        <v>6</v>
      </c>
      <c r="H4" s="41"/>
      <c r="I4" s="40"/>
      <c r="J4" s="39"/>
      <c r="K4" s="6">
        <v>2</v>
      </c>
      <c r="L4" s="40"/>
      <c r="M4" s="39"/>
      <c r="N4" s="41">
        <v>3</v>
      </c>
      <c r="O4" s="40"/>
      <c r="P4" s="55"/>
      <c r="Q4" s="41"/>
      <c r="R4" s="39"/>
      <c r="S4" s="39">
        <v>0</v>
      </c>
      <c r="T4" s="41">
        <v>2</v>
      </c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7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6</v>
      </c>
      <c r="K5" s="6"/>
      <c r="L5" s="40"/>
      <c r="M5" s="39"/>
      <c r="N5" s="41">
        <v>2</v>
      </c>
      <c r="O5" s="40"/>
      <c r="P5" s="55"/>
      <c r="Q5" s="41"/>
      <c r="R5" s="39"/>
      <c r="S5" s="39">
        <v>0</v>
      </c>
      <c r="T5" s="41">
        <v>3</v>
      </c>
      <c r="U5" s="40"/>
      <c r="V5" s="39">
        <v>1</v>
      </c>
      <c r="W5" s="41">
        <v>2</v>
      </c>
      <c r="X5" s="4"/>
      <c r="Y5" s="4"/>
      <c r="Z5" s="4"/>
      <c r="AA5" s="4"/>
    </row>
    <row r="6" spans="1:27" x14ac:dyDescent="0.25">
      <c r="A6" s="39">
        <v>15</v>
      </c>
      <c r="B6" s="147" t="s">
        <v>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>
        <v>3</v>
      </c>
      <c r="Q6" s="41">
        <v>2</v>
      </c>
      <c r="R6" s="39"/>
      <c r="S6" s="39">
        <v>0</v>
      </c>
      <c r="T6" s="41">
        <v>3</v>
      </c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147" t="s">
        <v>9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>
        <v>2</v>
      </c>
      <c r="Q7" s="41">
        <v>3</v>
      </c>
      <c r="R7" s="39"/>
      <c r="S7" s="39">
        <v>0</v>
      </c>
      <c r="T7" s="41">
        <v>3</v>
      </c>
      <c r="U7" s="40"/>
      <c r="V7" s="39">
        <v>0</v>
      </c>
      <c r="W7" s="41">
        <v>3</v>
      </c>
      <c r="X7" s="4"/>
      <c r="Y7" s="4"/>
      <c r="Z7" s="4"/>
      <c r="AA7" s="4"/>
    </row>
    <row r="8" spans="1:27" x14ac:dyDescent="0.25">
      <c r="A8" s="39">
        <v>15</v>
      </c>
      <c r="B8" s="40" t="s">
        <v>10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>
        <v>1</v>
      </c>
      <c r="Q8" s="41">
        <v>2</v>
      </c>
      <c r="R8" s="39"/>
      <c r="S8" s="39">
        <v>0</v>
      </c>
      <c r="T8" s="41">
        <v>2</v>
      </c>
      <c r="U8" s="40"/>
      <c r="V8" s="39">
        <v>-1</v>
      </c>
      <c r="W8" s="41">
        <v>3</v>
      </c>
      <c r="X8" s="4"/>
      <c r="Y8" s="4"/>
      <c r="Z8" s="4"/>
      <c r="AA8" s="4"/>
    </row>
    <row r="9" spans="1:27" x14ac:dyDescent="0.25">
      <c r="A9" s="39">
        <v>15</v>
      </c>
      <c r="B9" s="148" t="s">
        <v>11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>
        <v>1</v>
      </c>
      <c r="Q9" s="41">
        <v>1</v>
      </c>
      <c r="R9" s="39"/>
      <c r="S9" s="39">
        <v>0</v>
      </c>
      <c r="T9" s="41">
        <v>1</v>
      </c>
      <c r="U9" s="40"/>
      <c r="V9" s="39">
        <v>-1</v>
      </c>
      <c r="W9" s="41">
        <v>3</v>
      </c>
      <c r="X9" s="4"/>
      <c r="Y9" s="4"/>
      <c r="Z9" s="4"/>
      <c r="AA9" s="4"/>
    </row>
    <row r="10" spans="1:27" x14ac:dyDescent="0.25">
      <c r="A10" s="39">
        <v>15</v>
      </c>
      <c r="B10" s="147" t="s">
        <v>12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>
        <v>1</v>
      </c>
      <c r="Q10" s="41">
        <v>3</v>
      </c>
      <c r="R10" s="39"/>
      <c r="S10" s="39">
        <v>0</v>
      </c>
      <c r="T10" s="41">
        <v>3</v>
      </c>
      <c r="U10" s="40"/>
      <c r="V10" s="39">
        <v>-2</v>
      </c>
      <c r="W10" s="41">
        <v>3</v>
      </c>
      <c r="X10" s="4"/>
      <c r="Y10" s="4"/>
      <c r="Z10" s="4"/>
      <c r="AA10" s="4"/>
    </row>
    <row r="11" spans="1:27" x14ac:dyDescent="0.25">
      <c r="A11" s="39">
        <v>15</v>
      </c>
      <c r="B11" s="40" t="s">
        <v>13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>
        <v>0</v>
      </c>
      <c r="Q11" s="41">
        <v>2</v>
      </c>
      <c r="R11" s="39"/>
      <c r="S11" s="39">
        <v>0</v>
      </c>
      <c r="T11" s="41">
        <v>2</v>
      </c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147" t="s">
        <v>14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>
        <v>0</v>
      </c>
      <c r="Q12" s="41">
        <v>3</v>
      </c>
      <c r="R12" s="39"/>
      <c r="S12" s="39">
        <v>1</v>
      </c>
      <c r="T12" s="41">
        <v>3</v>
      </c>
      <c r="U12" s="40"/>
      <c r="V12" s="39">
        <v>-1</v>
      </c>
      <c r="W12" s="41">
        <v>3</v>
      </c>
      <c r="X12" s="4"/>
      <c r="Y12" s="4"/>
      <c r="Z12" s="4"/>
      <c r="AA12" s="4"/>
    </row>
    <row r="13" spans="1:27" x14ac:dyDescent="0.25">
      <c r="A13" s="39">
        <v>14</v>
      </c>
      <c r="B13" s="131" t="s">
        <v>15</v>
      </c>
      <c r="C13" s="40"/>
      <c r="D13" s="39">
        <v>0</v>
      </c>
      <c r="E13" s="41">
        <v>3</v>
      </c>
      <c r="F13" s="40"/>
      <c r="G13" s="55" t="s">
        <v>6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55"/>
      <c r="Q13" s="41"/>
      <c r="R13" s="39"/>
      <c r="S13" s="55"/>
      <c r="T13" s="41"/>
      <c r="U13" s="40"/>
      <c r="V13" s="39">
        <v>-1</v>
      </c>
      <c r="W13" s="41">
        <v>3</v>
      </c>
      <c r="X13" s="4"/>
      <c r="Y13" s="4"/>
      <c r="Z13" s="4"/>
      <c r="AA13" s="4"/>
    </row>
    <row r="14" spans="1:27" x14ac:dyDescent="0.25">
      <c r="A14" s="39">
        <v>14</v>
      </c>
      <c r="B14" s="147" t="s">
        <v>16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>
        <v>0</v>
      </c>
      <c r="Q14" s="41">
        <v>3</v>
      </c>
      <c r="R14" s="39"/>
      <c r="S14" s="39">
        <v>1</v>
      </c>
      <c r="T14" s="41">
        <v>2</v>
      </c>
      <c r="U14" s="40"/>
      <c r="V14" s="39">
        <v>-1</v>
      </c>
      <c r="W14" s="41">
        <v>3</v>
      </c>
      <c r="X14" s="4"/>
      <c r="Y14" s="4"/>
      <c r="Z14" s="4"/>
      <c r="AA14" s="4"/>
    </row>
    <row r="15" spans="1:27" x14ac:dyDescent="0.25">
      <c r="A15" s="39">
        <v>14</v>
      </c>
      <c r="B15" s="7" t="s">
        <v>17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6</v>
      </c>
      <c r="K15" s="41"/>
      <c r="L15" s="40"/>
      <c r="M15" s="55" t="s">
        <v>6</v>
      </c>
      <c r="N15" s="41"/>
      <c r="O15" s="40"/>
      <c r="P15" s="55"/>
      <c r="Q15" s="41"/>
      <c r="R15" s="39"/>
      <c r="S15" s="55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147" t="s">
        <v>18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>
        <v>0</v>
      </c>
      <c r="Q16" s="41">
        <v>3</v>
      </c>
      <c r="R16" s="39"/>
      <c r="S16" s="39">
        <v>0</v>
      </c>
      <c r="T16" s="41">
        <v>3</v>
      </c>
      <c r="U16" s="40"/>
      <c r="V16" s="39">
        <v>-1</v>
      </c>
      <c r="W16" s="41">
        <v>3</v>
      </c>
      <c r="X16" s="4"/>
      <c r="Y16" s="4"/>
      <c r="Z16" s="4"/>
      <c r="AA16" s="4"/>
    </row>
    <row r="17" spans="1:27" x14ac:dyDescent="0.25">
      <c r="A17" s="39">
        <v>14</v>
      </c>
      <c r="B17" s="147" t="s">
        <v>19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>
        <v>0</v>
      </c>
      <c r="Q17" s="41">
        <v>3</v>
      </c>
      <c r="R17" s="39"/>
      <c r="S17" s="39">
        <v>0</v>
      </c>
      <c r="T17" s="41">
        <v>3</v>
      </c>
      <c r="U17" s="40"/>
      <c r="V17" s="39">
        <v>-1</v>
      </c>
      <c r="W17" s="41">
        <v>3</v>
      </c>
      <c r="X17" s="4"/>
      <c r="Y17" s="4"/>
      <c r="Z17" s="4"/>
      <c r="AA17" s="4"/>
    </row>
    <row r="18" spans="1:27" x14ac:dyDescent="0.25">
      <c r="A18" s="39">
        <v>14</v>
      </c>
      <c r="B18" s="147" t="s">
        <v>20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>
        <v>0</v>
      </c>
      <c r="Q18" s="41">
        <v>3</v>
      </c>
      <c r="R18" s="39"/>
      <c r="S18" s="39">
        <v>0</v>
      </c>
      <c r="T18" s="41">
        <v>3</v>
      </c>
      <c r="U18" s="40"/>
      <c r="V18" s="39">
        <v>-1</v>
      </c>
      <c r="W18" s="41">
        <v>3</v>
      </c>
      <c r="X18" s="4"/>
      <c r="Y18" s="4"/>
      <c r="Z18" s="4"/>
      <c r="AA18" s="4"/>
    </row>
    <row r="19" spans="1:27" x14ac:dyDescent="0.25">
      <c r="A19" s="39">
        <v>14</v>
      </c>
      <c r="B19" s="40" t="s">
        <v>21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>
        <v>0</v>
      </c>
      <c r="Q19" s="41">
        <v>3</v>
      </c>
      <c r="R19" s="39"/>
      <c r="S19" s="39">
        <v>0</v>
      </c>
      <c r="T19" s="41">
        <v>1</v>
      </c>
      <c r="U19" s="40"/>
      <c r="V19" s="39">
        <v>-1</v>
      </c>
      <c r="W19" s="41">
        <v>3</v>
      </c>
      <c r="X19" s="4"/>
      <c r="Y19" s="4"/>
      <c r="Z19" s="4"/>
      <c r="AA19" s="4"/>
    </row>
    <row r="20" spans="1:27" x14ac:dyDescent="0.25">
      <c r="A20" s="39">
        <v>14</v>
      </c>
      <c r="B20" s="40" t="s">
        <v>22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>
        <v>-1</v>
      </c>
      <c r="Q20" s="41">
        <v>3</v>
      </c>
      <c r="R20" s="39"/>
      <c r="S20" s="39">
        <v>0</v>
      </c>
      <c r="T20" s="41">
        <v>3</v>
      </c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23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>
        <v>-1</v>
      </c>
      <c r="Q21" s="41">
        <v>3</v>
      </c>
      <c r="R21" s="39"/>
      <c r="S21" s="39">
        <v>0</v>
      </c>
      <c r="T21" s="41">
        <v>3</v>
      </c>
      <c r="U21" s="40"/>
      <c r="V21" s="39">
        <v>-1</v>
      </c>
      <c r="W21" s="41">
        <v>3</v>
      </c>
      <c r="X21" s="4"/>
      <c r="Y21" s="4"/>
      <c r="Z21" s="4"/>
      <c r="AA21" s="4"/>
    </row>
    <row r="22" spans="1:27" x14ac:dyDescent="0.25">
      <c r="A22" s="39">
        <v>13</v>
      </c>
      <c r="B22" s="147" t="s">
        <v>24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2">
        <v>3</v>
      </c>
      <c r="L22" s="40"/>
      <c r="M22" s="39"/>
      <c r="N22" s="41">
        <v>3</v>
      </c>
      <c r="O22" s="40"/>
      <c r="P22" s="39">
        <v>0</v>
      </c>
      <c r="Q22" s="41">
        <v>3</v>
      </c>
      <c r="R22" s="39"/>
      <c r="S22" s="39">
        <v>1</v>
      </c>
      <c r="T22" s="41">
        <v>3</v>
      </c>
      <c r="U22" s="40"/>
      <c r="V22" s="39">
        <v>0</v>
      </c>
      <c r="W22" s="41">
        <v>3</v>
      </c>
      <c r="X22" s="4"/>
      <c r="Y22" s="4"/>
      <c r="Z22" s="4"/>
      <c r="AA22" s="4"/>
    </row>
    <row r="23" spans="1:27" x14ac:dyDescent="0.25">
      <c r="A23" s="39">
        <v>13</v>
      </c>
      <c r="B23" s="132" t="s">
        <v>25</v>
      </c>
      <c r="C23" s="40"/>
      <c r="D23" s="55" t="s">
        <v>6</v>
      </c>
      <c r="E23" s="41"/>
      <c r="F23" s="40"/>
      <c r="G23" s="39">
        <v>-1</v>
      </c>
      <c r="H23" s="41">
        <v>3</v>
      </c>
      <c r="I23" s="40"/>
      <c r="J23" s="39"/>
      <c r="K23" s="41">
        <v>3</v>
      </c>
      <c r="L23" s="40"/>
      <c r="M23" s="55"/>
      <c r="N23" s="41"/>
      <c r="O23" s="40"/>
      <c r="P23" s="39">
        <v>0</v>
      </c>
      <c r="Q23" s="41">
        <v>3</v>
      </c>
      <c r="R23" s="39"/>
      <c r="S23" s="39">
        <v>1</v>
      </c>
      <c r="T23" s="41">
        <v>2</v>
      </c>
      <c r="U23" s="40"/>
      <c r="V23" s="39">
        <v>0</v>
      </c>
      <c r="W23" s="41">
        <v>3</v>
      </c>
      <c r="X23" s="4"/>
      <c r="Y23" s="4"/>
      <c r="Z23" s="4"/>
      <c r="AA23" s="4"/>
    </row>
    <row r="24" spans="1:27" x14ac:dyDescent="0.25">
      <c r="A24" s="39">
        <v>13</v>
      </c>
      <c r="B24" s="40" t="s">
        <v>26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>
        <v>0</v>
      </c>
      <c r="Q24" s="41">
        <v>3</v>
      </c>
      <c r="R24" s="39"/>
      <c r="S24" s="39">
        <v>0</v>
      </c>
      <c r="T24" s="41">
        <v>3</v>
      </c>
      <c r="U24" s="40"/>
      <c r="V24" s="39">
        <v>0</v>
      </c>
      <c r="W24" s="41">
        <v>3</v>
      </c>
      <c r="X24" s="4"/>
      <c r="Y24" s="4"/>
      <c r="Z24" s="4"/>
      <c r="AA24" s="4"/>
    </row>
    <row r="25" spans="1:27" x14ac:dyDescent="0.25">
      <c r="A25" s="39">
        <v>13</v>
      </c>
      <c r="B25" s="132" t="s">
        <v>27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6</v>
      </c>
      <c r="K25" s="41"/>
      <c r="L25" s="40"/>
      <c r="M25" s="39"/>
      <c r="N25" s="41">
        <v>3</v>
      </c>
      <c r="O25" s="40"/>
      <c r="P25" s="39">
        <v>0</v>
      </c>
      <c r="Q25" s="41">
        <v>3</v>
      </c>
      <c r="R25" s="39"/>
      <c r="S25" s="39">
        <v>0</v>
      </c>
      <c r="T25" s="41">
        <v>3</v>
      </c>
      <c r="U25" s="40"/>
      <c r="V25" s="39">
        <v>0</v>
      </c>
      <c r="W25" s="41">
        <v>3</v>
      </c>
      <c r="X25" s="4"/>
      <c r="Y25" s="4"/>
      <c r="Z25" s="4"/>
      <c r="AA25" s="4"/>
    </row>
    <row r="26" spans="1:27" x14ac:dyDescent="0.25">
      <c r="A26" s="39">
        <v>13</v>
      </c>
      <c r="B26" s="40" t="s">
        <v>28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>
        <v>0</v>
      </c>
      <c r="Q26" s="41">
        <v>3</v>
      </c>
      <c r="R26" s="39"/>
      <c r="S26" s="39">
        <v>0</v>
      </c>
      <c r="T26" s="41">
        <v>3</v>
      </c>
      <c r="U26" s="40"/>
      <c r="V26" s="39">
        <v>0</v>
      </c>
      <c r="W26" s="41">
        <v>3</v>
      </c>
      <c r="X26" s="4"/>
      <c r="Y26" s="4"/>
      <c r="Z26" s="4"/>
      <c r="AA26" s="4"/>
    </row>
    <row r="27" spans="1:27" x14ac:dyDescent="0.25">
      <c r="A27" s="39">
        <v>13</v>
      </c>
      <c r="B27" s="40" t="s">
        <v>29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>
        <v>0</v>
      </c>
      <c r="Q27" s="41">
        <v>3</v>
      </c>
      <c r="R27" s="39"/>
      <c r="S27" s="39">
        <v>0</v>
      </c>
      <c r="T27" s="41">
        <v>3</v>
      </c>
      <c r="U27" s="40"/>
      <c r="V27" s="39">
        <v>0</v>
      </c>
      <c r="W27" s="41">
        <v>3</v>
      </c>
      <c r="X27" s="4"/>
      <c r="Y27" s="4"/>
      <c r="Z27" s="4"/>
      <c r="AA27" s="4"/>
    </row>
    <row r="28" spans="1:27" x14ac:dyDescent="0.25">
      <c r="A28" s="39">
        <v>13</v>
      </c>
      <c r="B28" s="40" t="s">
        <v>30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>
        <v>0</v>
      </c>
      <c r="Q28" s="41">
        <v>3</v>
      </c>
      <c r="R28" s="39"/>
      <c r="S28" s="39">
        <v>0</v>
      </c>
      <c r="T28" s="41">
        <v>3</v>
      </c>
      <c r="U28" s="40"/>
      <c r="V28" s="39">
        <v>0</v>
      </c>
      <c r="W28" s="41">
        <v>3</v>
      </c>
      <c r="X28" s="4"/>
      <c r="Y28" s="4"/>
      <c r="Z28" s="4"/>
      <c r="AA28" s="4"/>
    </row>
    <row r="29" spans="1:27" x14ac:dyDescent="0.25">
      <c r="A29" s="39">
        <v>13</v>
      </c>
      <c r="B29" s="40" t="s">
        <v>31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>
        <v>-1</v>
      </c>
      <c r="Q29" s="41">
        <v>3</v>
      </c>
      <c r="R29" s="39"/>
      <c r="S29" s="39">
        <v>0</v>
      </c>
      <c r="T29" s="41">
        <v>3</v>
      </c>
      <c r="U29" s="40"/>
      <c r="V29" s="39">
        <v>0</v>
      </c>
      <c r="W29" s="41">
        <v>3</v>
      </c>
      <c r="X29" s="4"/>
      <c r="Y29" s="4"/>
      <c r="Z29" s="4"/>
      <c r="AA29" s="4"/>
    </row>
    <row r="30" spans="1:27" x14ac:dyDescent="0.25">
      <c r="A30" s="39">
        <v>13</v>
      </c>
      <c r="B30" s="40" t="s">
        <v>32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>
        <v>-2</v>
      </c>
      <c r="Q30" s="41">
        <v>3</v>
      </c>
      <c r="R30" s="39"/>
      <c r="S30" s="39">
        <v>0</v>
      </c>
      <c r="T30" s="41">
        <v>3</v>
      </c>
      <c r="U30" s="40"/>
      <c r="V30" s="39">
        <v>0</v>
      </c>
      <c r="W30" s="41">
        <v>3</v>
      </c>
      <c r="X30" s="4"/>
      <c r="Y30" s="4"/>
      <c r="Z30" s="4"/>
      <c r="AA30" s="4"/>
    </row>
    <row r="31" spans="1:27" ht="15.75" customHeight="1" thickBot="1" x14ac:dyDescent="0.3">
      <c r="A31" s="39"/>
      <c r="B31" s="40"/>
      <c r="C31" s="40"/>
      <c r="D31" s="129"/>
      <c r="E31" s="135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39"/>
      <c r="S31" s="39">
        <v>-1</v>
      </c>
      <c r="T31" s="41">
        <v>3</v>
      </c>
      <c r="U31" s="40"/>
      <c r="V31" s="39"/>
      <c r="W31" s="41"/>
      <c r="X31" s="4"/>
      <c r="Y31" s="4"/>
      <c r="Z31" s="4"/>
      <c r="AA31" s="4"/>
    </row>
    <row r="32" spans="1:27" ht="15.75" customHeight="1" thickBot="1" x14ac:dyDescent="0.3">
      <c r="A32" s="39">
        <v>12</v>
      </c>
      <c r="B32" s="132" t="s">
        <v>33</v>
      </c>
      <c r="C32" s="40"/>
      <c r="D32" s="55" t="s">
        <v>6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>
        <v>-3</v>
      </c>
      <c r="Q32" s="41">
        <v>3</v>
      </c>
      <c r="R32" s="39"/>
      <c r="S32" s="39">
        <v>-1</v>
      </c>
      <c r="T32" s="41">
        <v>3</v>
      </c>
      <c r="U32" s="40"/>
      <c r="V32" s="39">
        <v>0</v>
      </c>
      <c r="W32" s="41">
        <v>3</v>
      </c>
      <c r="X32" s="4"/>
      <c r="Y32" s="4"/>
      <c r="Z32" s="4"/>
      <c r="AA32" s="4"/>
    </row>
    <row r="33" spans="1:27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9" width="9.140625" style="68" customWidth="1"/>
    <col min="10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52" t="s">
        <v>121</v>
      </c>
      <c r="B32" s="150"/>
      <c r="C32" s="150"/>
      <c r="D32" s="150"/>
      <c r="E32" s="150"/>
      <c r="F32" s="150"/>
      <c r="G32" s="150"/>
      <c r="H32" s="151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49"/>
  <sheetViews>
    <sheetView tabSelected="1" topLeftCell="A6" workbookViewId="0">
      <selection activeCell="AS14" sqref="AS14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hidden="1" customWidth="1"/>
    <col min="37" max="37" width="9.140625" style="4" hidden="1" customWidth="1"/>
    <col min="38" max="38" width="0" hidden="1" customWidth="1"/>
    <col min="39" max="39" width="9.140625" style="4" hidden="1" customWidth="1"/>
    <col min="40" max="40" width="0" hidden="1" customWidth="1"/>
    <col min="41" max="41" width="14.85546875" customWidth="1"/>
  </cols>
  <sheetData>
    <row r="1" spans="1:46" x14ac:dyDescent="0.25">
      <c r="A1">
        <v>16</v>
      </c>
      <c r="B1" t="s">
        <v>45</v>
      </c>
      <c r="N1" t="s">
        <v>111</v>
      </c>
      <c r="O1" t="s">
        <v>102</v>
      </c>
      <c r="T1" s="78" t="s">
        <v>122</v>
      </c>
      <c r="X1" s="111" t="s">
        <v>123</v>
      </c>
      <c r="AB1" s="122" t="s">
        <v>124</v>
      </c>
      <c r="AE1" t="s">
        <v>125</v>
      </c>
      <c r="AG1" t="s">
        <v>126</v>
      </c>
      <c r="AJ1" s="126" t="s">
        <v>127</v>
      </c>
      <c r="AK1" s="127"/>
      <c r="AL1" s="126" t="s">
        <v>128</v>
      </c>
      <c r="AM1" s="127"/>
      <c r="AN1" s="126" t="s">
        <v>129</v>
      </c>
      <c r="AO1" s="127" t="s">
        <v>331</v>
      </c>
      <c r="AP1" s="126" t="s">
        <v>332</v>
      </c>
      <c r="AQ1" s="127" t="s">
        <v>333</v>
      </c>
    </row>
    <row r="2" spans="1:46" x14ac:dyDescent="0.25">
      <c r="A2">
        <v>15</v>
      </c>
      <c r="B2" t="s">
        <v>77</v>
      </c>
      <c r="N2" t="s">
        <v>111</v>
      </c>
      <c r="O2" t="s">
        <v>48</v>
      </c>
      <c r="T2" t="s">
        <v>24</v>
      </c>
      <c r="X2" t="s">
        <v>116</v>
      </c>
      <c r="Z2" t="s">
        <v>130</v>
      </c>
      <c r="AB2" s="79" t="s">
        <v>131</v>
      </c>
      <c r="AC2" s="124"/>
      <c r="AE2" s="79" t="s">
        <v>110</v>
      </c>
      <c r="AF2" s="124"/>
      <c r="AG2" s="79" t="s">
        <v>132</v>
      </c>
      <c r="AH2" s="123"/>
      <c r="AJ2" t="s">
        <v>133</v>
      </c>
      <c r="AL2" t="s">
        <v>35</v>
      </c>
      <c r="AM2" s="128" t="s">
        <v>134</v>
      </c>
      <c r="AN2" t="s">
        <v>135</v>
      </c>
      <c r="AO2" t="s">
        <v>20</v>
      </c>
      <c r="AP2" t="s">
        <v>115</v>
      </c>
      <c r="AQ2" t="s">
        <v>7</v>
      </c>
      <c r="AT2" t="s">
        <v>111</v>
      </c>
    </row>
    <row r="3" spans="1:46" x14ac:dyDescent="0.25">
      <c r="A3">
        <v>15</v>
      </c>
      <c r="B3" t="s">
        <v>47</v>
      </c>
      <c r="I3">
        <v>13</v>
      </c>
      <c r="J3" t="s">
        <v>49</v>
      </c>
      <c r="N3" t="s">
        <v>111</v>
      </c>
      <c r="O3" t="s">
        <v>136</v>
      </c>
      <c r="S3" s="81" t="s">
        <v>104</v>
      </c>
      <c r="T3" s="78" t="s">
        <v>137</v>
      </c>
      <c r="X3" t="s">
        <v>138</v>
      </c>
      <c r="Z3" t="s">
        <v>91</v>
      </c>
      <c r="AA3" t="s">
        <v>139</v>
      </c>
      <c r="AB3" s="79" t="s">
        <v>140</v>
      </c>
      <c r="AC3" s="124"/>
      <c r="AE3" s="79" t="s">
        <v>29</v>
      </c>
      <c r="AF3" s="124"/>
      <c r="AG3" s="79" t="s">
        <v>141</v>
      </c>
      <c r="AH3" s="123"/>
      <c r="AJ3" t="s">
        <v>142</v>
      </c>
      <c r="AL3" t="s">
        <v>143</v>
      </c>
      <c r="AM3" s="128" t="s">
        <v>144</v>
      </c>
      <c r="AN3" t="s">
        <v>145</v>
      </c>
      <c r="AO3" t="s">
        <v>21</v>
      </c>
      <c r="AP3" t="s">
        <v>78</v>
      </c>
      <c r="AQ3" t="s">
        <v>15</v>
      </c>
      <c r="AT3" t="s">
        <v>111</v>
      </c>
    </row>
    <row r="4" spans="1:46" x14ac:dyDescent="0.25">
      <c r="A4">
        <v>13</v>
      </c>
      <c r="B4" t="s">
        <v>9</v>
      </c>
      <c r="E4" t="s">
        <v>32</v>
      </c>
      <c r="I4">
        <v>13</v>
      </c>
      <c r="J4" t="s">
        <v>35</v>
      </c>
      <c r="N4" t="s">
        <v>111</v>
      </c>
      <c r="O4" t="s">
        <v>65</v>
      </c>
      <c r="S4" s="78" t="s">
        <v>141</v>
      </c>
      <c r="X4" t="s">
        <v>146</v>
      </c>
      <c r="Z4" t="s">
        <v>97</v>
      </c>
      <c r="AA4" t="s">
        <v>147</v>
      </c>
      <c r="AB4" s="79" t="s">
        <v>20</v>
      </c>
      <c r="AC4" s="124"/>
      <c r="AE4" s="79" t="s">
        <v>148</v>
      </c>
      <c r="AF4" s="124"/>
      <c r="AG4" s="79" t="s">
        <v>149</v>
      </c>
      <c r="AH4" s="123"/>
      <c r="AI4" t="s">
        <v>334</v>
      </c>
      <c r="AJ4" t="s">
        <v>150</v>
      </c>
      <c r="AL4" t="s">
        <v>151</v>
      </c>
      <c r="AM4" s="128" t="s">
        <v>134</v>
      </c>
      <c r="AN4" t="s">
        <v>78</v>
      </c>
      <c r="AO4" t="s">
        <v>13</v>
      </c>
      <c r="AP4" t="s">
        <v>338</v>
      </c>
      <c r="AQ4" t="s">
        <v>170</v>
      </c>
      <c r="AS4" t="s">
        <v>342</v>
      </c>
    </row>
    <row r="5" spans="1:46" x14ac:dyDescent="0.25">
      <c r="A5">
        <v>13</v>
      </c>
      <c r="B5" t="s">
        <v>52</v>
      </c>
      <c r="E5" t="s">
        <v>102</v>
      </c>
      <c r="I5">
        <v>13</v>
      </c>
      <c r="J5" t="s">
        <v>152</v>
      </c>
      <c r="N5" t="s">
        <v>111</v>
      </c>
      <c r="O5" t="s">
        <v>11</v>
      </c>
      <c r="S5" s="81" t="s">
        <v>153</v>
      </c>
      <c r="X5" t="s">
        <v>27</v>
      </c>
      <c r="Z5">
        <v>655321</v>
      </c>
      <c r="AB5" s="79" t="s">
        <v>151</v>
      </c>
      <c r="AC5" s="124"/>
      <c r="AE5" s="79" t="s">
        <v>154</v>
      </c>
      <c r="AF5" s="124"/>
      <c r="AG5" s="79" t="s">
        <v>32</v>
      </c>
      <c r="AH5" s="123"/>
      <c r="AJ5" t="s">
        <v>48</v>
      </c>
      <c r="AL5" t="s">
        <v>155</v>
      </c>
      <c r="AM5" s="128" t="s">
        <v>134</v>
      </c>
      <c r="AN5" t="s">
        <v>156</v>
      </c>
      <c r="AO5" t="s">
        <v>24</v>
      </c>
      <c r="AP5" t="s">
        <v>149</v>
      </c>
      <c r="AQ5" t="s">
        <v>317</v>
      </c>
      <c r="AT5" t="s">
        <v>111</v>
      </c>
    </row>
    <row r="6" spans="1:46" x14ac:dyDescent="0.25">
      <c r="A6">
        <v>13</v>
      </c>
      <c r="B6" t="s">
        <v>78</v>
      </c>
      <c r="E6" t="s">
        <v>156</v>
      </c>
      <c r="I6">
        <v>12</v>
      </c>
      <c r="J6" t="s">
        <v>157</v>
      </c>
      <c r="N6" t="s">
        <v>111</v>
      </c>
      <c r="O6" t="s">
        <v>158</v>
      </c>
      <c r="S6" s="81" t="s">
        <v>96</v>
      </c>
      <c r="X6" t="s">
        <v>118</v>
      </c>
      <c r="Z6" t="s">
        <v>159</v>
      </c>
      <c r="AA6" t="s">
        <v>160</v>
      </c>
      <c r="AG6" s="79" t="s">
        <v>96</v>
      </c>
      <c r="AJ6" t="s">
        <v>64</v>
      </c>
      <c r="AL6" t="s">
        <v>161</v>
      </c>
      <c r="AM6" s="128"/>
      <c r="AO6" t="s">
        <v>47</v>
      </c>
      <c r="AP6" t="s">
        <v>328</v>
      </c>
      <c r="AQ6" t="s">
        <v>320</v>
      </c>
      <c r="AS6" t="s">
        <v>342</v>
      </c>
    </row>
    <row r="7" spans="1:46" x14ac:dyDescent="0.25">
      <c r="A7">
        <v>13</v>
      </c>
      <c r="B7" t="s">
        <v>48</v>
      </c>
      <c r="I7">
        <v>12</v>
      </c>
      <c r="J7" t="s">
        <v>162</v>
      </c>
      <c r="N7" t="s">
        <v>111</v>
      </c>
      <c r="O7" t="s">
        <v>18</v>
      </c>
      <c r="S7" s="81" t="s">
        <v>106</v>
      </c>
      <c r="X7" t="s">
        <v>36</v>
      </c>
      <c r="Z7" t="s">
        <v>141</v>
      </c>
      <c r="AA7" t="s">
        <v>163</v>
      </c>
      <c r="AB7" s="79" t="s">
        <v>13</v>
      </c>
      <c r="AC7" s="125"/>
      <c r="AG7" s="79" t="s">
        <v>164</v>
      </c>
      <c r="AJ7" t="s">
        <v>47</v>
      </c>
      <c r="AL7" t="s">
        <v>140</v>
      </c>
      <c r="AM7" s="128"/>
      <c r="AO7" t="s">
        <v>29</v>
      </c>
      <c r="AQ7" t="s">
        <v>314</v>
      </c>
      <c r="AT7" t="s">
        <v>111</v>
      </c>
    </row>
    <row r="8" spans="1:46" x14ac:dyDescent="0.25">
      <c r="A8">
        <v>13</v>
      </c>
      <c r="B8" t="s">
        <v>56</v>
      </c>
      <c r="N8" t="s">
        <v>111</v>
      </c>
      <c r="O8" t="s">
        <v>55</v>
      </c>
      <c r="S8" s="78" t="s">
        <v>105</v>
      </c>
      <c r="X8" t="s">
        <v>35</v>
      </c>
      <c r="Z8" t="s">
        <v>140</v>
      </c>
      <c r="AB8" s="79" t="s">
        <v>138</v>
      </c>
      <c r="AC8" s="124"/>
      <c r="AG8" s="79" t="s">
        <v>165</v>
      </c>
      <c r="AJ8" t="s">
        <v>166</v>
      </c>
      <c r="AL8" t="s">
        <v>167</v>
      </c>
      <c r="AM8" s="128"/>
      <c r="AO8" t="s">
        <v>27</v>
      </c>
      <c r="AQ8" t="s">
        <v>323</v>
      </c>
      <c r="AS8" t="s">
        <v>342</v>
      </c>
    </row>
    <row r="9" spans="1:46" x14ac:dyDescent="0.25">
      <c r="A9">
        <v>13</v>
      </c>
      <c r="B9" t="s">
        <v>86</v>
      </c>
      <c r="I9">
        <v>12</v>
      </c>
      <c r="J9" t="s">
        <v>168</v>
      </c>
      <c r="N9" t="s">
        <v>111</v>
      </c>
      <c r="O9" t="s">
        <v>169</v>
      </c>
      <c r="S9" s="78" t="s">
        <v>35</v>
      </c>
      <c r="X9" t="s">
        <v>11</v>
      </c>
      <c r="Z9" t="s">
        <v>149</v>
      </c>
      <c r="AB9" s="79" t="s">
        <v>170</v>
      </c>
      <c r="AC9" s="124"/>
      <c r="AG9" s="79" t="s">
        <v>35</v>
      </c>
      <c r="AJ9" t="s">
        <v>171</v>
      </c>
      <c r="AL9" t="s">
        <v>172</v>
      </c>
      <c r="AM9" s="128"/>
      <c r="AO9" t="s">
        <v>31</v>
      </c>
      <c r="AQ9" t="s">
        <v>315</v>
      </c>
      <c r="AT9" t="s">
        <v>111</v>
      </c>
    </row>
    <row r="10" spans="1:46" x14ac:dyDescent="0.25">
      <c r="A10">
        <v>13</v>
      </c>
      <c r="B10" t="s">
        <v>51</v>
      </c>
      <c r="N10" t="s">
        <v>111</v>
      </c>
      <c r="O10" t="s">
        <v>8</v>
      </c>
      <c r="S10" s="78" t="s">
        <v>159</v>
      </c>
      <c r="X10" t="s">
        <v>173</v>
      </c>
      <c r="Z10" t="s">
        <v>174</v>
      </c>
      <c r="AA10" t="s">
        <v>175</v>
      </c>
      <c r="AB10" s="79" t="s">
        <v>47</v>
      </c>
      <c r="AC10" s="124"/>
      <c r="AG10" s="79" t="s">
        <v>176</v>
      </c>
      <c r="AJ10" t="s">
        <v>177</v>
      </c>
      <c r="AL10" t="s">
        <v>178</v>
      </c>
      <c r="AM10" s="128"/>
      <c r="AO10" t="s">
        <v>11</v>
      </c>
      <c r="AQ10" t="s">
        <v>330</v>
      </c>
      <c r="AS10" t="s">
        <v>342</v>
      </c>
    </row>
    <row r="11" spans="1:46" x14ac:dyDescent="0.25">
      <c r="A11">
        <v>13</v>
      </c>
      <c r="B11" t="s">
        <v>58</v>
      </c>
      <c r="I11">
        <v>12</v>
      </c>
      <c r="J11" t="s">
        <v>61</v>
      </c>
      <c r="N11" t="s">
        <v>111</v>
      </c>
      <c r="O11" t="s">
        <v>98</v>
      </c>
      <c r="S11" s="81" t="s">
        <v>179</v>
      </c>
      <c r="X11" t="s">
        <v>180</v>
      </c>
      <c r="Z11" t="s">
        <v>108</v>
      </c>
      <c r="AA11" t="s">
        <v>181</v>
      </c>
      <c r="AG11" s="79" t="s">
        <v>182</v>
      </c>
      <c r="AJ11" t="s">
        <v>183</v>
      </c>
      <c r="AL11" t="s">
        <v>184</v>
      </c>
      <c r="AM11" s="128"/>
      <c r="AO11" t="s">
        <v>18</v>
      </c>
      <c r="AQ11" t="s">
        <v>322</v>
      </c>
    </row>
    <row r="12" spans="1:46" x14ac:dyDescent="0.25">
      <c r="A12">
        <v>12</v>
      </c>
      <c r="B12" t="s">
        <v>19</v>
      </c>
      <c r="I12">
        <v>12</v>
      </c>
      <c r="J12" t="s">
        <v>185</v>
      </c>
      <c r="N12" t="s">
        <v>111</v>
      </c>
      <c r="O12" t="s">
        <v>32</v>
      </c>
      <c r="S12" s="81" t="s">
        <v>186</v>
      </c>
      <c r="X12" t="s">
        <v>16</v>
      </c>
      <c r="AB12" s="79" t="s">
        <v>27</v>
      </c>
      <c r="AC12" s="124"/>
      <c r="AG12" s="79" t="s">
        <v>187</v>
      </c>
      <c r="AJ12" t="s">
        <v>188</v>
      </c>
      <c r="AL12" t="s">
        <v>189</v>
      </c>
      <c r="AM12" s="128"/>
      <c r="AO12" t="s">
        <v>319</v>
      </c>
      <c r="AQ12" t="s">
        <v>22</v>
      </c>
    </row>
    <row r="13" spans="1:46" x14ac:dyDescent="0.25">
      <c r="A13">
        <v>12</v>
      </c>
      <c r="B13" t="s">
        <v>81</v>
      </c>
      <c r="I13">
        <v>12</v>
      </c>
      <c r="J13" t="s">
        <v>190</v>
      </c>
      <c r="N13" t="s">
        <v>111</v>
      </c>
      <c r="O13" t="s">
        <v>191</v>
      </c>
      <c r="S13" s="78" t="s">
        <v>77</v>
      </c>
      <c r="X13" t="s">
        <v>192</v>
      </c>
      <c r="AB13" s="79" t="s">
        <v>11</v>
      </c>
      <c r="AC13" s="124"/>
      <c r="AG13" s="79" t="s">
        <v>28</v>
      </c>
      <c r="AH13" t="s">
        <v>111</v>
      </c>
      <c r="AJ13" t="s">
        <v>18</v>
      </c>
      <c r="AM13" s="128"/>
      <c r="AO13" t="s">
        <v>335</v>
      </c>
      <c r="AQ13" t="s">
        <v>30</v>
      </c>
      <c r="AT13" t="s">
        <v>111</v>
      </c>
    </row>
    <row r="14" spans="1:46" x14ac:dyDescent="0.25">
      <c r="A14">
        <v>12</v>
      </c>
      <c r="B14" t="s">
        <v>65</v>
      </c>
      <c r="I14">
        <v>12</v>
      </c>
      <c r="J14" t="s">
        <v>57</v>
      </c>
      <c r="N14" t="s">
        <v>111</v>
      </c>
      <c r="O14" t="s">
        <v>9</v>
      </c>
      <c r="S14" s="81" t="s">
        <v>93</v>
      </c>
      <c r="X14" t="s">
        <v>98</v>
      </c>
      <c r="AB14" s="79" t="s">
        <v>18</v>
      </c>
      <c r="AC14" s="124"/>
      <c r="AG14" s="79" t="s">
        <v>193</v>
      </c>
      <c r="AJ14" t="s">
        <v>194</v>
      </c>
      <c r="AK14" s="4">
        <v>1</v>
      </c>
      <c r="AM14" s="128"/>
      <c r="AO14" t="s">
        <v>23</v>
      </c>
      <c r="AQ14" t="s">
        <v>325</v>
      </c>
      <c r="AS14" t="s">
        <v>342</v>
      </c>
    </row>
    <row r="15" spans="1:46" x14ac:dyDescent="0.25">
      <c r="A15">
        <v>12</v>
      </c>
      <c r="B15" t="s">
        <v>195</v>
      </c>
      <c r="I15">
        <v>12</v>
      </c>
      <c r="J15" t="s">
        <v>196</v>
      </c>
      <c r="N15" t="s">
        <v>111</v>
      </c>
      <c r="O15" t="s">
        <v>19</v>
      </c>
      <c r="S15" s="81" t="s">
        <v>108</v>
      </c>
      <c r="X15" t="s">
        <v>32</v>
      </c>
      <c r="AB15" s="79" t="s">
        <v>95</v>
      </c>
      <c r="AC15" s="124"/>
      <c r="AG15" s="79"/>
      <c r="AJ15" t="s">
        <v>16</v>
      </c>
      <c r="AM15" s="128"/>
      <c r="AO15" t="s">
        <v>8</v>
      </c>
      <c r="AQ15" t="s">
        <v>321</v>
      </c>
      <c r="AT15" t="s">
        <v>111</v>
      </c>
    </row>
    <row r="16" spans="1:46" x14ac:dyDescent="0.25">
      <c r="A16">
        <v>12</v>
      </c>
      <c r="B16" t="s">
        <v>53</v>
      </c>
      <c r="N16" t="s">
        <v>111</v>
      </c>
      <c r="O16" t="s">
        <v>197</v>
      </c>
      <c r="S16" s="78" t="s">
        <v>198</v>
      </c>
      <c r="X16" t="s">
        <v>199</v>
      </c>
      <c r="AB16" s="79" t="s">
        <v>15</v>
      </c>
      <c r="AC16" s="124"/>
      <c r="AG16" s="79" t="s">
        <v>200</v>
      </c>
      <c r="AJ16" t="s">
        <v>201</v>
      </c>
      <c r="AM16" s="128"/>
      <c r="AO16" t="s">
        <v>32</v>
      </c>
      <c r="AQ16" t="s">
        <v>339</v>
      </c>
      <c r="AS16" t="s">
        <v>342</v>
      </c>
    </row>
    <row r="17" spans="1:46" x14ac:dyDescent="0.25">
      <c r="A17">
        <v>12</v>
      </c>
      <c r="B17" t="s">
        <v>16</v>
      </c>
      <c r="I17">
        <v>12</v>
      </c>
      <c r="J17" t="s">
        <v>202</v>
      </c>
      <c r="N17" t="s">
        <v>111</v>
      </c>
      <c r="O17" t="s">
        <v>60</v>
      </c>
      <c r="S17" s="81" t="s">
        <v>203</v>
      </c>
      <c r="X17" t="s">
        <v>204</v>
      </c>
      <c r="AB17" s="79" t="s">
        <v>16</v>
      </c>
      <c r="AC17" s="124"/>
      <c r="AG17" s="79" t="s">
        <v>97</v>
      </c>
      <c r="AH17" s="123"/>
      <c r="AJ17" t="s">
        <v>51</v>
      </c>
      <c r="AM17" s="128"/>
      <c r="AO17" t="s">
        <v>327</v>
      </c>
      <c r="AQ17" t="s">
        <v>340</v>
      </c>
    </row>
    <row r="18" spans="1:46" x14ac:dyDescent="0.25">
      <c r="A18">
        <v>12</v>
      </c>
      <c r="B18" t="s">
        <v>80</v>
      </c>
      <c r="I18">
        <v>11</v>
      </c>
      <c r="J18" t="s">
        <v>67</v>
      </c>
      <c r="N18" t="s">
        <v>111</v>
      </c>
      <c r="O18" t="s">
        <v>28</v>
      </c>
      <c r="S18" s="78" t="s">
        <v>205</v>
      </c>
      <c r="X18" t="s">
        <v>206</v>
      </c>
      <c r="AB18" s="79" t="s">
        <v>23</v>
      </c>
      <c r="AC18" s="124"/>
      <c r="AJ18" t="s">
        <v>207</v>
      </c>
      <c r="AO18" t="s">
        <v>9</v>
      </c>
      <c r="AQ18" t="s">
        <v>341</v>
      </c>
      <c r="AT18" t="s">
        <v>111</v>
      </c>
    </row>
    <row r="19" spans="1:46" x14ac:dyDescent="0.25">
      <c r="A19">
        <v>12</v>
      </c>
      <c r="B19" t="s">
        <v>55</v>
      </c>
      <c r="I19">
        <v>11</v>
      </c>
      <c r="J19" t="s">
        <v>72</v>
      </c>
      <c r="N19" t="s">
        <v>111</v>
      </c>
      <c r="O19" t="s">
        <v>208</v>
      </c>
      <c r="S19" s="81" t="s">
        <v>209</v>
      </c>
      <c r="X19" t="s">
        <v>210</v>
      </c>
      <c r="AB19" s="79" t="s">
        <v>114</v>
      </c>
      <c r="AC19" s="124"/>
      <c r="AJ19" t="s">
        <v>211</v>
      </c>
      <c r="AO19" t="s">
        <v>329</v>
      </c>
      <c r="AQ19" t="s">
        <v>324</v>
      </c>
      <c r="AS19" t="s">
        <v>342</v>
      </c>
    </row>
    <row r="20" spans="1:46" x14ac:dyDescent="0.25">
      <c r="A20">
        <v>12</v>
      </c>
      <c r="B20" t="s">
        <v>79</v>
      </c>
      <c r="N20" t="s">
        <v>111</v>
      </c>
      <c r="O20" t="s">
        <v>212</v>
      </c>
      <c r="S20" s="78"/>
      <c r="X20" t="s">
        <v>33</v>
      </c>
      <c r="AB20" s="79" t="s">
        <v>8</v>
      </c>
      <c r="AC20" s="124"/>
      <c r="AJ20" t="s">
        <v>9</v>
      </c>
      <c r="AO20" t="s">
        <v>33</v>
      </c>
      <c r="AQ20" t="s">
        <v>316</v>
      </c>
      <c r="AS20" t="s">
        <v>342</v>
      </c>
    </row>
    <row r="21" spans="1:46" x14ac:dyDescent="0.25">
      <c r="A21">
        <v>12</v>
      </c>
      <c r="B21" t="s">
        <v>84</v>
      </c>
      <c r="N21" t="s">
        <v>111</v>
      </c>
      <c r="O21" t="s">
        <v>70</v>
      </c>
      <c r="S21" s="81"/>
      <c r="X21" t="s">
        <v>60</v>
      </c>
      <c r="AB21" s="79" t="s">
        <v>17</v>
      </c>
      <c r="AC21" s="124"/>
      <c r="AJ21" t="s">
        <v>19</v>
      </c>
      <c r="AO21" t="s">
        <v>28</v>
      </c>
    </row>
    <row r="22" spans="1:46" x14ac:dyDescent="0.25">
      <c r="A22">
        <v>12</v>
      </c>
      <c r="B22" t="s">
        <v>87</v>
      </c>
      <c r="N22" t="s">
        <v>111</v>
      </c>
      <c r="O22" t="s">
        <v>91</v>
      </c>
      <c r="S22" s="78"/>
      <c r="X22" t="s">
        <v>213</v>
      </c>
      <c r="AJ22" t="s">
        <v>214</v>
      </c>
      <c r="AO22" t="s">
        <v>336</v>
      </c>
    </row>
    <row r="23" spans="1:46" x14ac:dyDescent="0.25">
      <c r="A23">
        <v>12</v>
      </c>
      <c r="B23" t="s">
        <v>82</v>
      </c>
      <c r="N23" t="s">
        <v>111</v>
      </c>
      <c r="O23" t="s">
        <v>215</v>
      </c>
      <c r="S23" s="78"/>
      <c r="X23" t="s">
        <v>99</v>
      </c>
      <c r="AB23" s="79" t="s">
        <v>216</v>
      </c>
      <c r="AC23" s="124"/>
      <c r="AJ23" t="s">
        <v>115</v>
      </c>
      <c r="AO23" t="s">
        <v>97</v>
      </c>
    </row>
    <row r="24" spans="1:46" x14ac:dyDescent="0.25">
      <c r="A24">
        <v>12</v>
      </c>
      <c r="B24" t="s">
        <v>74</v>
      </c>
      <c r="N24" t="s">
        <v>111</v>
      </c>
      <c r="O24" t="s">
        <v>217</v>
      </c>
      <c r="S24" s="78"/>
      <c r="X24" t="s">
        <v>4</v>
      </c>
      <c r="AB24" s="79" t="s">
        <v>9</v>
      </c>
      <c r="AC24" s="124"/>
      <c r="AJ24" t="s">
        <v>66</v>
      </c>
      <c r="AK24" s="4">
        <v>1</v>
      </c>
      <c r="AO24" t="s">
        <v>26</v>
      </c>
    </row>
    <row r="25" spans="1:46" x14ac:dyDescent="0.25">
      <c r="A25">
        <v>12</v>
      </c>
      <c r="B25" t="s">
        <v>70</v>
      </c>
      <c r="N25" t="s">
        <v>111</v>
      </c>
      <c r="O25" t="s">
        <v>79</v>
      </c>
      <c r="S25" s="81"/>
      <c r="X25" t="s">
        <v>218</v>
      </c>
      <c r="AB25" s="79" t="s">
        <v>19</v>
      </c>
      <c r="AC25" s="124"/>
      <c r="AJ25" t="s">
        <v>74</v>
      </c>
      <c r="AO25" t="s">
        <v>337</v>
      </c>
    </row>
    <row r="26" spans="1:46" x14ac:dyDescent="0.25">
      <c r="A26">
        <v>12</v>
      </c>
      <c r="B26" t="s">
        <v>66</v>
      </c>
      <c r="N26" t="s">
        <v>111</v>
      </c>
      <c r="O26" t="s">
        <v>219</v>
      </c>
      <c r="S26" s="81"/>
      <c r="X26" t="s">
        <v>15</v>
      </c>
      <c r="AB26" s="79" t="s">
        <v>7</v>
      </c>
      <c r="AC26" s="124"/>
      <c r="AJ26" t="s">
        <v>52</v>
      </c>
      <c r="AO26" t="s">
        <v>12</v>
      </c>
    </row>
    <row r="27" spans="1:46" x14ac:dyDescent="0.25">
      <c r="A27">
        <v>12</v>
      </c>
      <c r="B27" t="s">
        <v>85</v>
      </c>
      <c r="N27" t="s">
        <v>111</v>
      </c>
      <c r="O27" t="s">
        <v>81</v>
      </c>
      <c r="S27" s="81"/>
      <c r="X27" t="s">
        <v>114</v>
      </c>
      <c r="AB27" s="79" t="s">
        <v>115</v>
      </c>
      <c r="AC27" s="124"/>
      <c r="AJ27" t="s">
        <v>154</v>
      </c>
    </row>
    <row r="28" spans="1:46" x14ac:dyDescent="0.25">
      <c r="A28">
        <v>12</v>
      </c>
      <c r="B28" t="s">
        <v>18</v>
      </c>
      <c r="N28" t="s">
        <v>111</v>
      </c>
      <c r="O28" t="s">
        <v>220</v>
      </c>
      <c r="S28" s="81"/>
      <c r="X28" t="s">
        <v>96</v>
      </c>
      <c r="AB28" s="79" t="s">
        <v>33</v>
      </c>
      <c r="AC28" s="124"/>
      <c r="AJ28" t="s">
        <v>45</v>
      </c>
      <c r="AK28" s="4">
        <v>1</v>
      </c>
    </row>
    <row r="29" spans="1:46" x14ac:dyDescent="0.25">
      <c r="A29">
        <v>12</v>
      </c>
      <c r="B29" t="s">
        <v>62</v>
      </c>
      <c r="N29" t="s">
        <v>119</v>
      </c>
      <c r="O29" s="81" t="s">
        <v>94</v>
      </c>
      <c r="S29" s="78"/>
      <c r="AB29" s="79" t="s">
        <v>10</v>
      </c>
      <c r="AC29" s="124"/>
      <c r="AJ29" t="s">
        <v>217</v>
      </c>
    </row>
    <row r="30" spans="1:46" x14ac:dyDescent="0.25">
      <c r="S30" s="78"/>
      <c r="X30" t="s">
        <v>37</v>
      </c>
      <c r="AB30" s="79" t="s">
        <v>221</v>
      </c>
      <c r="AC30" s="124"/>
    </row>
    <row r="31" spans="1:46" x14ac:dyDescent="0.25">
      <c r="S31" s="78"/>
      <c r="X31" t="s">
        <v>117</v>
      </c>
      <c r="AB31" s="79" t="s">
        <v>4</v>
      </c>
      <c r="AC31" s="124"/>
    </row>
    <row r="32" spans="1:46" x14ac:dyDescent="0.25">
      <c r="S32" s="81"/>
      <c r="X32" t="s">
        <v>13</v>
      </c>
      <c r="AB32" s="79" t="s">
        <v>222</v>
      </c>
      <c r="AC32" s="124"/>
    </row>
    <row r="33" spans="19:29" x14ac:dyDescent="0.25">
      <c r="S33" s="81"/>
      <c r="AB33" s="79" t="s">
        <v>223</v>
      </c>
      <c r="AC33" s="124"/>
    </row>
    <row r="34" spans="19:29" x14ac:dyDescent="0.25">
      <c r="S34" s="78"/>
      <c r="AB34" s="79" t="s">
        <v>194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O2:AO26">
    <sortCondition ref="AO2:AO2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J50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6" width="9.140625" style="68" customWidth="1"/>
    <col min="97" max="16384" width="9.140625" style="68"/>
  </cols>
  <sheetData>
    <row r="1" spans="1:88" ht="15.75" customHeight="1" thickBot="1" x14ac:dyDescent="0.3">
      <c r="A1" s="107" t="s">
        <v>224</v>
      </c>
      <c r="B1" s="107" t="s">
        <v>225</v>
      </c>
      <c r="C1" s="108" t="s">
        <v>226</v>
      </c>
      <c r="D1" s="107" t="s">
        <v>227</v>
      </c>
      <c r="E1" s="108" t="s">
        <v>228</v>
      </c>
      <c r="F1" s="108" t="s">
        <v>229</v>
      </c>
      <c r="G1" s="107" t="s">
        <v>230</v>
      </c>
      <c r="H1" s="110" t="s">
        <v>231</v>
      </c>
      <c r="I1" s="107" t="s">
        <v>232</v>
      </c>
      <c r="J1" s="110" t="s">
        <v>233</v>
      </c>
      <c r="K1" s="107" t="s">
        <v>234</v>
      </c>
      <c r="L1" s="110" t="s">
        <v>235</v>
      </c>
      <c r="M1" s="107" t="s">
        <v>236</v>
      </c>
      <c r="N1" s="110" t="s">
        <v>237</v>
      </c>
      <c r="O1" s="107" t="s">
        <v>238</v>
      </c>
      <c r="P1" s="110" t="s">
        <v>239</v>
      </c>
      <c r="Q1" s="107" t="s">
        <v>240</v>
      </c>
      <c r="R1" s="110" t="s">
        <v>241</v>
      </c>
      <c r="S1" s="107" t="s">
        <v>242</v>
      </c>
      <c r="T1" s="110" t="s">
        <v>243</v>
      </c>
      <c r="U1" s="107" t="s">
        <v>244</v>
      </c>
      <c r="V1" s="110" t="s">
        <v>245</v>
      </c>
      <c r="W1" s="107" t="s">
        <v>246</v>
      </c>
      <c r="X1" s="110" t="s">
        <v>247</v>
      </c>
      <c r="Y1" s="107" t="s">
        <v>248</v>
      </c>
      <c r="Z1" s="110" t="s">
        <v>249</v>
      </c>
      <c r="AA1" s="107" t="s">
        <v>250</v>
      </c>
      <c r="AB1" s="110" t="s">
        <v>251</v>
      </c>
      <c r="AC1" s="107" t="s">
        <v>252</v>
      </c>
      <c r="AD1" s="110" t="s">
        <v>253</v>
      </c>
      <c r="AE1" s="107" t="s">
        <v>254</v>
      </c>
      <c r="AF1" s="110" t="s">
        <v>255</v>
      </c>
      <c r="AG1" s="107" t="s">
        <v>256</v>
      </c>
      <c r="AH1" s="110" t="s">
        <v>257</v>
      </c>
      <c r="AI1" s="107" t="s">
        <v>258</v>
      </c>
      <c r="AJ1" s="110" t="s">
        <v>259</v>
      </c>
      <c r="AK1" s="107" t="s">
        <v>260</v>
      </c>
      <c r="AL1" s="110" t="s">
        <v>261</v>
      </c>
      <c r="AM1" s="107" t="s">
        <v>262</v>
      </c>
      <c r="AN1" s="110" t="s">
        <v>263</v>
      </c>
      <c r="AO1" s="107" t="s">
        <v>264</v>
      </c>
      <c r="AP1" s="110" t="s">
        <v>265</v>
      </c>
      <c r="AQ1" s="107" t="s">
        <v>266</v>
      </c>
      <c r="AR1" s="110" t="s">
        <v>267</v>
      </c>
      <c r="AS1" s="107" t="s">
        <v>268</v>
      </c>
      <c r="AT1" s="110" t="s">
        <v>269</v>
      </c>
      <c r="AU1" s="107" t="s">
        <v>270</v>
      </c>
      <c r="AV1" s="110" t="s">
        <v>271</v>
      </c>
      <c r="AW1" s="107" t="s">
        <v>272</v>
      </c>
      <c r="AX1" s="110" t="s">
        <v>273</v>
      </c>
      <c r="AY1" s="109" t="s">
        <v>274</v>
      </c>
      <c r="AZ1" s="109" t="s">
        <v>275</v>
      </c>
      <c r="BA1" s="109" t="s">
        <v>276</v>
      </c>
      <c r="BB1" s="109" t="s">
        <v>277</v>
      </c>
      <c r="BC1" s="109" t="s">
        <v>278</v>
      </c>
      <c r="BD1" s="109" t="s">
        <v>279</v>
      </c>
      <c r="BE1" s="109" t="s">
        <v>280</v>
      </c>
      <c r="BF1" s="109" t="s">
        <v>281</v>
      </c>
      <c r="BG1" s="109" t="s">
        <v>282</v>
      </c>
      <c r="BH1" s="109" t="s">
        <v>283</v>
      </c>
      <c r="BI1" s="109" t="s">
        <v>284</v>
      </c>
      <c r="BJ1" s="109" t="s">
        <v>285</v>
      </c>
      <c r="BK1" s="109" t="s">
        <v>286</v>
      </c>
      <c r="BL1" s="109" t="s">
        <v>287</v>
      </c>
      <c r="BM1" s="109" t="s">
        <v>288</v>
      </c>
      <c r="BN1" s="109" t="s">
        <v>289</v>
      </c>
      <c r="BO1" s="109" t="s">
        <v>290</v>
      </c>
      <c r="BP1" s="109" t="s">
        <v>291</v>
      </c>
      <c r="BQ1" s="109" t="s">
        <v>292</v>
      </c>
      <c r="BR1" s="109" t="s">
        <v>293</v>
      </c>
      <c r="BS1" s="109" t="s">
        <v>294</v>
      </c>
      <c r="BT1" s="109" t="s">
        <v>295</v>
      </c>
      <c r="BU1" s="109" t="s">
        <v>296</v>
      </c>
      <c r="BV1" s="109" t="s">
        <v>297</v>
      </c>
      <c r="BW1" s="109" t="s">
        <v>298</v>
      </c>
      <c r="BX1" s="109" t="s">
        <v>299</v>
      </c>
      <c r="BY1" s="109" t="s">
        <v>300</v>
      </c>
      <c r="BZ1" s="109" t="s">
        <v>301</v>
      </c>
      <c r="CA1" s="109" t="s">
        <v>302</v>
      </c>
      <c r="CB1" s="109" t="s">
        <v>303</v>
      </c>
      <c r="CC1" s="109" t="s">
        <v>304</v>
      </c>
      <c r="CD1" s="109" t="s">
        <v>305</v>
      </c>
      <c r="CE1" s="109" t="s">
        <v>306</v>
      </c>
      <c r="CF1" s="109" t="s">
        <v>307</v>
      </c>
      <c r="CG1" s="109" t="s">
        <v>308</v>
      </c>
      <c r="CH1" s="109" t="s">
        <v>309</v>
      </c>
      <c r="CI1" s="109" t="s">
        <v>310</v>
      </c>
      <c r="CJ1" t="s">
        <v>311</v>
      </c>
    </row>
    <row r="2" spans="1:88" x14ac:dyDescent="0.25">
      <c r="A2" s="79" t="s">
        <v>132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20</v>
      </c>
      <c r="B3" s="79">
        <v>12</v>
      </c>
      <c r="C3" s="68">
        <v>6</v>
      </c>
      <c r="D3" s="79">
        <v>28</v>
      </c>
      <c r="E3" s="68">
        <f t="shared" si="0"/>
        <v>6</v>
      </c>
      <c r="F3" s="68">
        <f t="shared" si="1"/>
        <v>3</v>
      </c>
      <c r="G3">
        <v>3</v>
      </c>
      <c r="H3">
        <v>3</v>
      </c>
      <c r="AM3">
        <v>3</v>
      </c>
      <c r="AN3">
        <v>3</v>
      </c>
      <c r="AO3" s="120">
        <v>3</v>
      </c>
      <c r="AP3" s="121">
        <v>2</v>
      </c>
      <c r="AS3" s="120">
        <v>3</v>
      </c>
      <c r="AT3" s="121">
        <v>3</v>
      </c>
      <c r="AU3">
        <v>3</v>
      </c>
      <c r="AV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2</v>
      </c>
      <c r="BE3">
        <v>3</v>
      </c>
      <c r="BF3">
        <v>3</v>
      </c>
      <c r="BG3">
        <v>2</v>
      </c>
      <c r="BH3">
        <v>2</v>
      </c>
      <c r="BQ3">
        <v>3</v>
      </c>
      <c r="BR3">
        <v>3</v>
      </c>
      <c r="BS3">
        <v>2</v>
      </c>
      <c r="BT3">
        <v>3</v>
      </c>
      <c r="BU3">
        <v>2</v>
      </c>
      <c r="BV3">
        <v>3</v>
      </c>
      <c r="BW3" t="s">
        <v>312</v>
      </c>
      <c r="BX3" t="s">
        <v>312</v>
      </c>
      <c r="BY3">
        <v>3</v>
      </c>
      <c r="BZ3">
        <v>3</v>
      </c>
      <c r="CA3">
        <v>3</v>
      </c>
      <c r="CB3">
        <v>3</v>
      </c>
      <c r="CC3">
        <v>3</v>
      </c>
      <c r="CD3">
        <v>3</v>
      </c>
      <c r="CE3">
        <v>3</v>
      </c>
      <c r="CF3">
        <v>3</v>
      </c>
      <c r="CI3">
        <v>2</v>
      </c>
      <c r="CJ3">
        <v>3</v>
      </c>
    </row>
    <row r="4" spans="1:88" x14ac:dyDescent="0.25">
      <c r="A4" s="79" t="s">
        <v>13</v>
      </c>
      <c r="B4" s="79">
        <v>28</v>
      </c>
      <c r="C4" s="68">
        <v>10</v>
      </c>
      <c r="D4" s="79">
        <v>33</v>
      </c>
      <c r="E4" s="68">
        <f t="shared" si="0"/>
        <v>3</v>
      </c>
      <c r="F4" s="68">
        <f t="shared" si="1"/>
        <v>1.5</v>
      </c>
      <c r="G4" s="79">
        <v>2</v>
      </c>
      <c r="H4" s="80">
        <v>1</v>
      </c>
      <c r="I4" s="79">
        <v>0</v>
      </c>
      <c r="J4" s="80">
        <v>0</v>
      </c>
      <c r="K4" s="79">
        <v>2</v>
      </c>
      <c r="L4" s="80">
        <v>1</v>
      </c>
      <c r="M4" s="79">
        <v>1</v>
      </c>
      <c r="N4" s="80">
        <v>0</v>
      </c>
      <c r="O4" s="79">
        <v>1</v>
      </c>
      <c r="P4" s="80">
        <v>0</v>
      </c>
      <c r="Q4" s="79" t="s">
        <v>312</v>
      </c>
      <c r="R4" s="80" t="s">
        <v>312</v>
      </c>
      <c r="W4" s="79" t="s">
        <v>312</v>
      </c>
      <c r="X4" s="80" t="s">
        <v>312</v>
      </c>
      <c r="Y4" s="79">
        <v>3</v>
      </c>
      <c r="Z4" s="80">
        <v>3</v>
      </c>
      <c r="AA4" s="79">
        <v>2</v>
      </c>
      <c r="AB4" s="80">
        <v>2</v>
      </c>
      <c r="AC4" s="79" t="s">
        <v>312</v>
      </c>
      <c r="AD4" s="80" t="s">
        <v>312</v>
      </c>
      <c r="AI4" s="120" t="s">
        <v>312</v>
      </c>
      <c r="AJ4" s="121" t="s">
        <v>312</v>
      </c>
      <c r="AK4" s="120">
        <v>2</v>
      </c>
      <c r="AL4" s="121" t="s">
        <v>312</v>
      </c>
      <c r="AM4" s="120">
        <v>3</v>
      </c>
      <c r="AN4" s="121">
        <v>1</v>
      </c>
      <c r="AO4" s="120">
        <v>2</v>
      </c>
      <c r="AP4" s="121" t="s">
        <v>312</v>
      </c>
      <c r="AU4" s="120" t="s">
        <v>312</v>
      </c>
      <c r="AV4" s="121" t="s">
        <v>312</v>
      </c>
      <c r="AY4">
        <v>2</v>
      </c>
      <c r="AZ4" t="s">
        <v>312</v>
      </c>
      <c r="BA4">
        <v>2</v>
      </c>
      <c r="BB4" t="s">
        <v>312</v>
      </c>
      <c r="BE4">
        <v>2</v>
      </c>
      <c r="BF4">
        <v>3</v>
      </c>
      <c r="BI4">
        <v>3</v>
      </c>
      <c r="BJ4">
        <v>3</v>
      </c>
      <c r="BK4">
        <v>3</v>
      </c>
      <c r="BL4">
        <v>2</v>
      </c>
      <c r="BO4">
        <v>1</v>
      </c>
      <c r="BP4">
        <v>2</v>
      </c>
      <c r="BQ4">
        <v>1</v>
      </c>
      <c r="BR4" t="s">
        <v>312</v>
      </c>
      <c r="BU4">
        <v>1</v>
      </c>
      <c r="BV4" t="s">
        <v>312</v>
      </c>
      <c r="BW4" t="s">
        <v>312</v>
      </c>
      <c r="BX4" t="s">
        <v>312</v>
      </c>
      <c r="BY4">
        <v>2</v>
      </c>
      <c r="BZ4" t="s">
        <v>312</v>
      </c>
      <c r="CC4">
        <v>2</v>
      </c>
      <c r="CD4">
        <v>3</v>
      </c>
      <c r="CE4">
        <v>1</v>
      </c>
      <c r="CF4" t="s">
        <v>312</v>
      </c>
    </row>
    <row r="5" spans="1:88" x14ac:dyDescent="0.25">
      <c r="A5" s="79" t="s">
        <v>138</v>
      </c>
      <c r="B5" s="79">
        <v>0</v>
      </c>
      <c r="C5" s="68">
        <v>0</v>
      </c>
      <c r="D5" s="79">
        <v>14</v>
      </c>
      <c r="E5" s="68">
        <f t="shared" si="0"/>
        <v>4</v>
      </c>
      <c r="F5" s="68">
        <f t="shared" si="1"/>
        <v>2</v>
      </c>
      <c r="G5">
        <v>3</v>
      </c>
      <c r="H5">
        <v>1</v>
      </c>
      <c r="K5" s="79">
        <v>3</v>
      </c>
      <c r="L5" s="80">
        <v>3</v>
      </c>
      <c r="M5" s="79">
        <v>3</v>
      </c>
      <c r="N5" s="80">
        <v>3</v>
      </c>
      <c r="Q5" s="79">
        <v>3</v>
      </c>
      <c r="R5" s="80">
        <v>3</v>
      </c>
      <c r="AC5" s="79">
        <v>2</v>
      </c>
      <c r="AD5" s="80">
        <v>2</v>
      </c>
      <c r="AI5" s="68"/>
      <c r="AJ5" s="68"/>
      <c r="AK5" s="68"/>
      <c r="AL5" s="68"/>
      <c r="AM5">
        <v>3</v>
      </c>
      <c r="AN5">
        <v>3</v>
      </c>
      <c r="AU5" s="120">
        <v>3</v>
      </c>
      <c r="AV5" s="121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2</v>
      </c>
      <c r="BU5">
        <v>3</v>
      </c>
      <c r="BV5">
        <v>3</v>
      </c>
      <c r="CA5">
        <v>3</v>
      </c>
      <c r="CB5">
        <v>3</v>
      </c>
      <c r="CC5">
        <v>3</v>
      </c>
      <c r="CD5">
        <v>3</v>
      </c>
      <c r="CE5">
        <v>3</v>
      </c>
      <c r="CF5">
        <v>3</v>
      </c>
    </row>
    <row r="6" spans="1:88" x14ac:dyDescent="0.25">
      <c r="A6" s="79" t="s">
        <v>141</v>
      </c>
      <c r="B6" s="79">
        <v>1</v>
      </c>
      <c r="C6" s="68">
        <v>0</v>
      </c>
      <c r="D6" s="79">
        <v>1</v>
      </c>
      <c r="E6" s="68">
        <f t="shared" si="0"/>
        <v>0</v>
      </c>
      <c r="F6" s="68" t="e">
        <f t="shared" si="1"/>
        <v>#DIV/0!</v>
      </c>
      <c r="AS6" s="68"/>
      <c r="AT6" s="68"/>
      <c r="BA6">
        <v>3</v>
      </c>
      <c r="BB6" t="s">
        <v>312</v>
      </c>
    </row>
    <row r="7" spans="1:88" x14ac:dyDescent="0.25">
      <c r="A7" s="79" t="s">
        <v>170</v>
      </c>
      <c r="B7" s="79">
        <v>4</v>
      </c>
      <c r="C7" s="68">
        <v>2</v>
      </c>
      <c r="D7" s="79">
        <v>18</v>
      </c>
      <c r="E7" s="68">
        <f t="shared" si="0"/>
        <v>0</v>
      </c>
      <c r="F7" s="68" t="e">
        <f t="shared" si="1"/>
        <v>#DIV/0!</v>
      </c>
      <c r="G7" t="s">
        <v>312</v>
      </c>
      <c r="H7" t="s">
        <v>312</v>
      </c>
      <c r="AM7">
        <v>1</v>
      </c>
      <c r="AN7">
        <v>3</v>
      </c>
      <c r="AO7">
        <v>3</v>
      </c>
      <c r="AP7">
        <v>3</v>
      </c>
      <c r="AS7">
        <v>0</v>
      </c>
      <c r="AT7">
        <v>0</v>
      </c>
      <c r="AU7">
        <v>2</v>
      </c>
      <c r="AV7">
        <v>3</v>
      </c>
      <c r="AY7">
        <v>3</v>
      </c>
      <c r="AZ7">
        <v>2</v>
      </c>
      <c r="BA7">
        <v>1</v>
      </c>
      <c r="BB7">
        <v>2</v>
      </c>
      <c r="BC7">
        <v>1</v>
      </c>
      <c r="BD7">
        <v>3</v>
      </c>
      <c r="BG7">
        <v>3</v>
      </c>
      <c r="BH7">
        <v>3</v>
      </c>
      <c r="BK7">
        <v>2</v>
      </c>
      <c r="BL7">
        <v>3</v>
      </c>
      <c r="BQ7">
        <v>3</v>
      </c>
      <c r="BR7">
        <v>2</v>
      </c>
      <c r="BS7">
        <v>2</v>
      </c>
      <c r="BT7">
        <v>2</v>
      </c>
      <c r="BU7">
        <v>3</v>
      </c>
      <c r="BV7">
        <v>3</v>
      </c>
      <c r="BW7" t="s">
        <v>312</v>
      </c>
      <c r="BX7" t="s">
        <v>312</v>
      </c>
      <c r="BY7">
        <v>2</v>
      </c>
      <c r="BZ7">
        <v>2</v>
      </c>
      <c r="CC7">
        <v>3</v>
      </c>
      <c r="CD7">
        <v>3</v>
      </c>
      <c r="CI7">
        <v>3</v>
      </c>
      <c r="CJ7">
        <v>3</v>
      </c>
    </row>
    <row r="8" spans="1:88" x14ac:dyDescent="0.25">
      <c r="A8" s="79" t="s">
        <v>47</v>
      </c>
      <c r="B8" s="79">
        <v>15</v>
      </c>
      <c r="C8" s="68">
        <v>7</v>
      </c>
      <c r="D8" s="79">
        <v>28</v>
      </c>
      <c r="E8" s="68">
        <f t="shared" si="0"/>
        <v>3</v>
      </c>
      <c r="F8" s="68">
        <f t="shared" si="1"/>
        <v>3</v>
      </c>
      <c r="G8" s="79">
        <v>3</v>
      </c>
      <c r="H8" s="80" t="s">
        <v>312</v>
      </c>
      <c r="I8" s="79">
        <v>3</v>
      </c>
      <c r="J8" s="80">
        <v>2</v>
      </c>
      <c r="K8" s="79">
        <v>2</v>
      </c>
      <c r="L8" s="80">
        <v>3</v>
      </c>
      <c r="O8" s="79">
        <v>3</v>
      </c>
      <c r="P8" s="80">
        <v>2</v>
      </c>
      <c r="Q8" s="79">
        <v>3</v>
      </c>
      <c r="R8" s="80">
        <v>2</v>
      </c>
      <c r="S8" s="79">
        <v>2</v>
      </c>
      <c r="T8" s="80">
        <v>2</v>
      </c>
      <c r="U8" s="79">
        <v>3</v>
      </c>
      <c r="V8" s="80">
        <v>3</v>
      </c>
      <c r="W8" s="79">
        <v>3</v>
      </c>
      <c r="X8" s="80">
        <v>3</v>
      </c>
      <c r="Y8" s="79">
        <v>1</v>
      </c>
      <c r="Z8" s="80">
        <v>1</v>
      </c>
      <c r="AA8" s="79">
        <v>2</v>
      </c>
      <c r="AB8" s="80">
        <v>2</v>
      </c>
      <c r="AC8" s="79">
        <v>2</v>
      </c>
      <c r="AD8" s="80">
        <v>3</v>
      </c>
      <c r="AI8" s="68"/>
      <c r="AJ8" s="68"/>
      <c r="AK8" s="68"/>
      <c r="AL8" s="68"/>
      <c r="AM8">
        <v>3</v>
      </c>
      <c r="AN8">
        <v>3</v>
      </c>
      <c r="AO8" s="68"/>
      <c r="AP8" s="68"/>
      <c r="AS8" s="68"/>
      <c r="AT8" s="68"/>
      <c r="AU8">
        <v>3</v>
      </c>
      <c r="AV8">
        <v>3</v>
      </c>
      <c r="BA8" t="s">
        <v>312</v>
      </c>
      <c r="BB8" t="s">
        <v>312</v>
      </c>
      <c r="BC8">
        <v>3</v>
      </c>
      <c r="BD8">
        <v>3</v>
      </c>
      <c r="BG8" t="s">
        <v>312</v>
      </c>
      <c r="BH8" t="s">
        <v>312</v>
      </c>
      <c r="BM8" t="s">
        <v>312</v>
      </c>
      <c r="BN8" t="s">
        <v>312</v>
      </c>
      <c r="BQ8">
        <v>1</v>
      </c>
      <c r="BR8">
        <v>2</v>
      </c>
      <c r="BU8">
        <v>3</v>
      </c>
      <c r="BV8">
        <v>2</v>
      </c>
      <c r="CE8" t="s">
        <v>312</v>
      </c>
      <c r="CF8" t="s">
        <v>312</v>
      </c>
      <c r="CI8">
        <v>2</v>
      </c>
      <c r="CJ8">
        <v>1</v>
      </c>
    </row>
    <row r="9" spans="1:88" x14ac:dyDescent="0.25">
      <c r="A9" s="79" t="s">
        <v>29</v>
      </c>
      <c r="B9" s="79">
        <v>11</v>
      </c>
      <c r="C9" s="68">
        <v>4</v>
      </c>
      <c r="D9" s="79">
        <v>16</v>
      </c>
      <c r="E9" s="68">
        <f t="shared" si="0"/>
        <v>4</v>
      </c>
      <c r="F9" s="68">
        <f t="shared" si="1"/>
        <v>2</v>
      </c>
      <c r="G9">
        <v>1</v>
      </c>
      <c r="H9">
        <v>3</v>
      </c>
      <c r="BO9">
        <v>3</v>
      </c>
      <c r="BP9">
        <v>3</v>
      </c>
      <c r="BQ9">
        <v>1</v>
      </c>
      <c r="BR9" t="s">
        <v>312</v>
      </c>
      <c r="BS9">
        <v>3</v>
      </c>
      <c r="BT9" t="s">
        <v>312</v>
      </c>
      <c r="BU9">
        <v>1</v>
      </c>
      <c r="BV9">
        <v>3</v>
      </c>
      <c r="CA9">
        <v>3</v>
      </c>
      <c r="CB9" t="s">
        <v>312</v>
      </c>
      <c r="CC9">
        <v>3</v>
      </c>
      <c r="CD9">
        <v>3</v>
      </c>
      <c r="CI9">
        <v>2</v>
      </c>
      <c r="CJ9">
        <v>0</v>
      </c>
    </row>
    <row r="10" spans="1:88" x14ac:dyDescent="0.25">
      <c r="A10" s="79" t="s">
        <v>149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8" x14ac:dyDescent="0.25">
      <c r="A11" s="79" t="s">
        <v>27</v>
      </c>
      <c r="B11" s="79">
        <v>14</v>
      </c>
      <c r="C11" s="68">
        <v>5</v>
      </c>
      <c r="D11" s="79">
        <v>20</v>
      </c>
      <c r="E11" s="68">
        <f t="shared" si="0"/>
        <v>3</v>
      </c>
      <c r="F11" s="68">
        <f t="shared" si="1"/>
        <v>3</v>
      </c>
      <c r="G11">
        <v>3</v>
      </c>
      <c r="H11" t="s">
        <v>312</v>
      </c>
      <c r="Q11" s="79">
        <v>3</v>
      </c>
      <c r="R11" s="80">
        <v>2</v>
      </c>
      <c r="U11" s="79">
        <v>3</v>
      </c>
      <c r="V11" s="80">
        <v>1</v>
      </c>
      <c r="Y11" s="79">
        <v>2</v>
      </c>
      <c r="Z11" s="80">
        <v>2</v>
      </c>
      <c r="AA11" s="79">
        <v>3</v>
      </c>
      <c r="AB11" s="80" t="s">
        <v>312</v>
      </c>
      <c r="AE11" s="79">
        <v>2</v>
      </c>
      <c r="AF11" s="80">
        <v>1</v>
      </c>
      <c r="AI11" s="68"/>
      <c r="AJ11" s="68"/>
      <c r="AK11" s="68"/>
      <c r="AL11" s="68"/>
      <c r="AS11" s="120">
        <v>1</v>
      </c>
      <c r="AT11" s="121">
        <v>2</v>
      </c>
      <c r="AY11" t="s">
        <v>312</v>
      </c>
      <c r="AZ11" t="s">
        <v>312</v>
      </c>
      <c r="BK11" t="s">
        <v>312</v>
      </c>
      <c r="BL11" t="s">
        <v>312</v>
      </c>
      <c r="BO11">
        <v>2</v>
      </c>
      <c r="BP11" t="s">
        <v>312</v>
      </c>
      <c r="BQ11">
        <v>3</v>
      </c>
      <c r="BR11">
        <v>2</v>
      </c>
      <c r="BU11">
        <v>3</v>
      </c>
      <c r="BV11">
        <v>1</v>
      </c>
      <c r="BW11" t="s">
        <v>312</v>
      </c>
      <c r="BX11" t="s">
        <v>312</v>
      </c>
      <c r="BY11">
        <v>3</v>
      </c>
      <c r="BZ11">
        <v>1</v>
      </c>
      <c r="CC11">
        <v>2</v>
      </c>
      <c r="CD11">
        <v>3</v>
      </c>
      <c r="CE11">
        <v>3</v>
      </c>
      <c r="CF11" t="s">
        <v>312</v>
      </c>
      <c r="CI11">
        <v>3</v>
      </c>
      <c r="CJ11">
        <v>3</v>
      </c>
    </row>
    <row r="12" spans="1:88" x14ac:dyDescent="0.25">
      <c r="A12" s="79" t="s">
        <v>11</v>
      </c>
      <c r="B12" s="79">
        <v>13</v>
      </c>
      <c r="C12" s="68">
        <v>5</v>
      </c>
      <c r="D12" s="79">
        <v>30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I12" s="79">
        <v>3</v>
      </c>
      <c r="J12" s="80">
        <v>1</v>
      </c>
      <c r="K12" s="79">
        <v>3</v>
      </c>
      <c r="L12" s="80">
        <v>3</v>
      </c>
      <c r="O12" s="79">
        <v>3</v>
      </c>
      <c r="P12" s="80">
        <v>1</v>
      </c>
      <c r="Q12" s="79">
        <v>3</v>
      </c>
      <c r="R12" s="80">
        <v>3</v>
      </c>
      <c r="U12" s="79">
        <v>3</v>
      </c>
      <c r="V12" s="80">
        <v>1</v>
      </c>
      <c r="AA12" s="79">
        <v>3</v>
      </c>
      <c r="AB12" s="80">
        <v>3</v>
      </c>
      <c r="AC12" s="79">
        <v>2</v>
      </c>
      <c r="AD12" s="80">
        <v>2</v>
      </c>
      <c r="AE12" s="79">
        <v>3</v>
      </c>
      <c r="AF12" s="80" t="s">
        <v>312</v>
      </c>
      <c r="AI12" s="120" t="s">
        <v>312</v>
      </c>
      <c r="AJ12" s="121" t="s">
        <v>312</v>
      </c>
      <c r="AK12" s="120">
        <v>3</v>
      </c>
      <c r="AL12" s="121">
        <v>2</v>
      </c>
      <c r="AM12">
        <v>3</v>
      </c>
      <c r="AN12">
        <v>3</v>
      </c>
      <c r="AO12" s="120">
        <v>1</v>
      </c>
      <c r="AP12" s="121">
        <v>1</v>
      </c>
      <c r="AS12" s="120">
        <v>3</v>
      </c>
      <c r="AT12" s="121">
        <v>3</v>
      </c>
      <c r="AU12" s="120">
        <v>3</v>
      </c>
      <c r="AV12" s="121">
        <v>3</v>
      </c>
      <c r="AY12">
        <v>3</v>
      </c>
      <c r="AZ12">
        <v>3</v>
      </c>
      <c r="BA12">
        <v>1</v>
      </c>
      <c r="BB12" t="s">
        <v>312</v>
      </c>
      <c r="BC12">
        <v>3</v>
      </c>
      <c r="BD12">
        <v>3</v>
      </c>
      <c r="BI12">
        <v>3</v>
      </c>
      <c r="BJ12">
        <v>3</v>
      </c>
      <c r="BK12">
        <v>1</v>
      </c>
      <c r="BL12" t="s">
        <v>312</v>
      </c>
      <c r="BO12">
        <v>3</v>
      </c>
      <c r="BP12">
        <v>2</v>
      </c>
      <c r="BU12">
        <v>3</v>
      </c>
      <c r="BV12">
        <v>3</v>
      </c>
      <c r="BW12" t="s">
        <v>312</v>
      </c>
      <c r="BX12" t="s">
        <v>312</v>
      </c>
      <c r="BY12">
        <v>3</v>
      </c>
      <c r="BZ12">
        <v>1</v>
      </c>
    </row>
    <row r="13" spans="1:88" x14ac:dyDescent="0.25">
      <c r="A13" s="79" t="s">
        <v>18</v>
      </c>
      <c r="B13" s="79">
        <v>4</v>
      </c>
      <c r="C13" s="68">
        <v>2</v>
      </c>
      <c r="D13" s="79">
        <v>19</v>
      </c>
      <c r="E13" s="68">
        <f t="shared" si="0"/>
        <v>6</v>
      </c>
      <c r="F13" s="68">
        <f t="shared" si="1"/>
        <v>3</v>
      </c>
      <c r="G13">
        <v>3</v>
      </c>
      <c r="H13">
        <v>3</v>
      </c>
      <c r="S13" s="79">
        <v>2</v>
      </c>
      <c r="T13" s="80">
        <v>3</v>
      </c>
      <c r="W13" s="79">
        <v>2</v>
      </c>
      <c r="X13" s="80">
        <v>2</v>
      </c>
      <c r="Y13" s="79">
        <v>3</v>
      </c>
      <c r="Z13" s="80">
        <v>3</v>
      </c>
      <c r="AA13" s="79">
        <v>3</v>
      </c>
      <c r="AB13" s="80">
        <v>3</v>
      </c>
      <c r="AC13" s="79">
        <v>3</v>
      </c>
      <c r="AD13" s="80">
        <v>3</v>
      </c>
      <c r="AI13" s="120" t="s">
        <v>312</v>
      </c>
      <c r="AJ13" s="121" t="s">
        <v>312</v>
      </c>
      <c r="AK13" s="120">
        <v>3</v>
      </c>
      <c r="AL13" s="121">
        <v>3</v>
      </c>
      <c r="AM13" s="120">
        <v>2</v>
      </c>
      <c r="AN13" s="121">
        <v>2</v>
      </c>
      <c r="AU13">
        <v>3</v>
      </c>
      <c r="AV13">
        <v>3</v>
      </c>
      <c r="BA13">
        <v>1</v>
      </c>
      <c r="BB13">
        <v>1</v>
      </c>
      <c r="BQ13">
        <v>3</v>
      </c>
      <c r="BR13">
        <v>3</v>
      </c>
      <c r="BS13">
        <v>3</v>
      </c>
      <c r="BT13">
        <v>3</v>
      </c>
      <c r="BU13">
        <v>3</v>
      </c>
      <c r="BV13">
        <v>3</v>
      </c>
      <c r="BW13" t="s">
        <v>312</v>
      </c>
      <c r="BX13" t="s">
        <v>312</v>
      </c>
      <c r="BY13">
        <v>3</v>
      </c>
      <c r="BZ13">
        <v>3</v>
      </c>
      <c r="CA13">
        <v>3</v>
      </c>
      <c r="CB13">
        <v>3</v>
      </c>
      <c r="CC13">
        <v>2</v>
      </c>
      <c r="CD13">
        <v>3</v>
      </c>
      <c r="CE13">
        <v>3</v>
      </c>
      <c r="CF13">
        <v>2</v>
      </c>
    </row>
    <row r="14" spans="1:88" x14ac:dyDescent="0.25">
      <c r="A14" s="79" t="s">
        <v>15</v>
      </c>
      <c r="B14" s="79">
        <v>1</v>
      </c>
      <c r="C14" s="68">
        <v>0</v>
      </c>
      <c r="D14" s="79">
        <v>6</v>
      </c>
      <c r="E14" s="68">
        <f t="shared" si="0"/>
        <v>0</v>
      </c>
      <c r="F14" s="68" t="e">
        <f t="shared" si="1"/>
        <v>#DIV/0!</v>
      </c>
      <c r="AI14" s="68"/>
      <c r="AJ14" s="68"/>
      <c r="AK14" s="68"/>
      <c r="AL14" s="68"/>
      <c r="AM14">
        <v>2</v>
      </c>
      <c r="AN14">
        <v>2</v>
      </c>
      <c r="AO14" s="120">
        <v>3</v>
      </c>
      <c r="AP14" s="121">
        <v>3</v>
      </c>
      <c r="AS14">
        <v>2</v>
      </c>
      <c r="AT14">
        <v>2</v>
      </c>
      <c r="AU14" s="68"/>
      <c r="AV14" s="68"/>
      <c r="AY14">
        <v>3</v>
      </c>
      <c r="AZ14">
        <v>2</v>
      </c>
      <c r="BE14">
        <v>3</v>
      </c>
      <c r="BF14" t="s">
        <v>312</v>
      </c>
      <c r="BS14">
        <v>2</v>
      </c>
      <c r="BT14">
        <v>3</v>
      </c>
    </row>
    <row r="15" spans="1:88" x14ac:dyDescent="0.25">
      <c r="A15" s="79" t="s">
        <v>16</v>
      </c>
      <c r="B15" s="79">
        <v>0</v>
      </c>
      <c r="C15" s="68">
        <v>0</v>
      </c>
      <c r="D15" s="79">
        <v>5</v>
      </c>
      <c r="E15" s="68">
        <f t="shared" si="0"/>
        <v>0</v>
      </c>
      <c r="F15" s="68" t="e">
        <f t="shared" si="1"/>
        <v>#DIV/0!</v>
      </c>
      <c r="AE15" s="79">
        <v>3</v>
      </c>
      <c r="AF15" s="80">
        <v>1</v>
      </c>
      <c r="AI15" s="68"/>
      <c r="AJ15" s="68"/>
      <c r="AK15" s="68"/>
      <c r="AL15" s="68"/>
      <c r="AM15" s="68"/>
      <c r="AN15" s="68"/>
      <c r="AO15" s="68"/>
      <c r="AP15" s="68"/>
      <c r="BA15">
        <v>2</v>
      </c>
      <c r="BB15">
        <v>2</v>
      </c>
      <c r="BI15">
        <v>3</v>
      </c>
      <c r="BJ15">
        <v>3</v>
      </c>
      <c r="BO15">
        <v>3</v>
      </c>
      <c r="BP15">
        <v>3</v>
      </c>
      <c r="BQ15">
        <v>2</v>
      </c>
      <c r="BR15">
        <v>3</v>
      </c>
    </row>
    <row r="16" spans="1:88" x14ac:dyDescent="0.25">
      <c r="A16" s="79" t="s">
        <v>23</v>
      </c>
      <c r="B16" s="79">
        <v>9</v>
      </c>
      <c r="C16" s="68">
        <v>4</v>
      </c>
      <c r="D16" s="79">
        <v>17</v>
      </c>
      <c r="E16" s="68">
        <f t="shared" si="0"/>
        <v>5</v>
      </c>
      <c r="F16" s="68">
        <f t="shared" si="1"/>
        <v>2.5</v>
      </c>
      <c r="G16">
        <v>2</v>
      </c>
      <c r="H16">
        <v>3</v>
      </c>
      <c r="AM16" s="68"/>
      <c r="AN16" s="68"/>
      <c r="AO16" s="68"/>
      <c r="AP16" s="68"/>
      <c r="AS16" s="68"/>
      <c r="AT16" s="68"/>
      <c r="AU16" s="68"/>
      <c r="AV16" s="68"/>
      <c r="BC16">
        <v>3</v>
      </c>
      <c r="BD16">
        <v>3</v>
      </c>
      <c r="BE16">
        <v>1</v>
      </c>
      <c r="BF16" t="s">
        <v>312</v>
      </c>
      <c r="BG16">
        <v>2</v>
      </c>
      <c r="BH16">
        <v>2</v>
      </c>
      <c r="BI16">
        <v>3</v>
      </c>
      <c r="BJ16">
        <v>1</v>
      </c>
      <c r="BK16">
        <v>3</v>
      </c>
      <c r="BL16">
        <v>3</v>
      </c>
      <c r="BQ16">
        <v>3</v>
      </c>
      <c r="BR16">
        <v>2</v>
      </c>
      <c r="BU16">
        <v>3</v>
      </c>
      <c r="BV16">
        <v>3</v>
      </c>
      <c r="BW16" t="s">
        <v>312</v>
      </c>
      <c r="BX16" t="s">
        <v>312</v>
      </c>
      <c r="BY16">
        <v>3</v>
      </c>
      <c r="BZ16">
        <v>3</v>
      </c>
      <c r="CA16">
        <v>2</v>
      </c>
      <c r="CB16">
        <v>3</v>
      </c>
      <c r="CI16">
        <v>3</v>
      </c>
      <c r="CJ16">
        <v>3</v>
      </c>
    </row>
    <row r="17" spans="1:88" x14ac:dyDescent="0.25">
      <c r="A17" s="79" t="s">
        <v>8</v>
      </c>
      <c r="B17" s="79">
        <v>12</v>
      </c>
      <c r="C17" s="68">
        <v>5</v>
      </c>
      <c r="D17" s="79">
        <v>25</v>
      </c>
      <c r="E17" s="68">
        <f t="shared" si="0"/>
        <v>4</v>
      </c>
      <c r="F17" s="68">
        <f t="shared" si="1"/>
        <v>2</v>
      </c>
      <c r="G17">
        <v>3</v>
      </c>
      <c r="H17">
        <v>1</v>
      </c>
      <c r="I17" s="79">
        <v>2</v>
      </c>
      <c r="J17" s="80" t="s">
        <v>312</v>
      </c>
      <c r="M17" s="79">
        <v>3</v>
      </c>
      <c r="N17" s="80">
        <v>1</v>
      </c>
      <c r="O17" s="79">
        <v>3</v>
      </c>
      <c r="P17" s="80">
        <v>3</v>
      </c>
      <c r="Q17" s="79">
        <v>2</v>
      </c>
      <c r="R17" s="80" t="s">
        <v>312</v>
      </c>
      <c r="W17" s="79">
        <v>2</v>
      </c>
      <c r="X17" s="80">
        <v>2</v>
      </c>
      <c r="AA17" s="79">
        <v>3</v>
      </c>
      <c r="AB17" s="80">
        <v>2</v>
      </c>
      <c r="AC17" s="79">
        <v>2</v>
      </c>
      <c r="AD17" s="80">
        <v>3</v>
      </c>
      <c r="AM17" s="68"/>
      <c r="AN17" s="68"/>
      <c r="AO17">
        <v>0</v>
      </c>
      <c r="AP17">
        <v>1</v>
      </c>
      <c r="AS17" s="68"/>
      <c r="AT17" s="68"/>
      <c r="AU17">
        <v>3</v>
      </c>
      <c r="AV17">
        <v>1</v>
      </c>
      <c r="AY17">
        <v>3</v>
      </c>
      <c r="AZ17">
        <v>3</v>
      </c>
      <c r="BA17">
        <v>2</v>
      </c>
      <c r="BB17">
        <v>2</v>
      </c>
      <c r="BG17">
        <v>2</v>
      </c>
      <c r="BH17">
        <v>3</v>
      </c>
      <c r="BK17">
        <v>3</v>
      </c>
      <c r="BL17">
        <v>2</v>
      </c>
      <c r="BO17">
        <v>2</v>
      </c>
      <c r="BP17">
        <v>3</v>
      </c>
      <c r="BS17">
        <v>2</v>
      </c>
      <c r="BT17">
        <v>3</v>
      </c>
      <c r="CC17">
        <v>3</v>
      </c>
      <c r="CD17">
        <v>3</v>
      </c>
      <c r="CE17" t="s">
        <v>312</v>
      </c>
      <c r="CF17" t="s">
        <v>312</v>
      </c>
      <c r="CI17">
        <v>3</v>
      </c>
      <c r="CJ17">
        <v>3</v>
      </c>
    </row>
    <row r="18" spans="1:88" x14ac:dyDescent="0.25">
      <c r="A18" s="79" t="s">
        <v>32</v>
      </c>
      <c r="B18" s="79">
        <v>22</v>
      </c>
      <c r="C18" s="68">
        <v>3</v>
      </c>
      <c r="D18" s="79">
        <v>26</v>
      </c>
      <c r="E18" s="68">
        <f t="shared" si="0"/>
        <v>3</v>
      </c>
      <c r="F18" s="68">
        <f t="shared" si="1"/>
        <v>3</v>
      </c>
      <c r="G18" s="79">
        <v>3</v>
      </c>
      <c r="H18" s="80" t="s">
        <v>312</v>
      </c>
      <c r="I18" s="79">
        <v>3</v>
      </c>
      <c r="J18" s="80">
        <v>3</v>
      </c>
      <c r="O18" s="79">
        <v>3</v>
      </c>
      <c r="P18" s="80" t="s">
        <v>312</v>
      </c>
      <c r="S18" s="79">
        <v>2</v>
      </c>
      <c r="T18" s="80" t="s">
        <v>312</v>
      </c>
      <c r="W18" s="79">
        <v>3</v>
      </c>
      <c r="X18" s="80">
        <v>2</v>
      </c>
      <c r="AA18" s="79">
        <v>3</v>
      </c>
      <c r="AB18" s="80" t="s">
        <v>312</v>
      </c>
      <c r="AE18" s="79">
        <v>3</v>
      </c>
      <c r="AF18" s="80" t="s">
        <v>312</v>
      </c>
      <c r="AI18" s="120" t="s">
        <v>312</v>
      </c>
      <c r="AJ18" s="121" t="s">
        <v>312</v>
      </c>
      <c r="AK18" s="120">
        <v>3</v>
      </c>
      <c r="AL18" s="121">
        <v>3</v>
      </c>
      <c r="AM18" s="68"/>
      <c r="AN18" s="68"/>
      <c r="AO18">
        <v>3</v>
      </c>
      <c r="AP18" t="s">
        <v>312</v>
      </c>
      <c r="AS18">
        <v>3</v>
      </c>
      <c r="AT18">
        <v>2</v>
      </c>
      <c r="BA18">
        <v>3</v>
      </c>
      <c r="BB18" t="s">
        <v>312</v>
      </c>
      <c r="BE18">
        <v>3</v>
      </c>
      <c r="BF18" t="s">
        <v>312</v>
      </c>
      <c r="BG18">
        <v>3</v>
      </c>
      <c r="BH18">
        <v>3</v>
      </c>
      <c r="BK18">
        <v>3</v>
      </c>
      <c r="BL18" t="s">
        <v>312</v>
      </c>
      <c r="BO18">
        <v>3</v>
      </c>
      <c r="BP18">
        <v>3</v>
      </c>
      <c r="BU18">
        <v>3</v>
      </c>
      <c r="BV18" t="s">
        <v>312</v>
      </c>
      <c r="BW18" t="s">
        <v>312</v>
      </c>
      <c r="BX18" t="s">
        <v>312</v>
      </c>
      <c r="BY18">
        <v>3</v>
      </c>
      <c r="BZ18" t="s">
        <v>312</v>
      </c>
      <c r="CA18">
        <v>2</v>
      </c>
      <c r="CB18" t="s">
        <v>312</v>
      </c>
      <c r="CC18">
        <v>3</v>
      </c>
      <c r="CD18" t="s">
        <v>312</v>
      </c>
      <c r="CE18">
        <v>3</v>
      </c>
      <c r="CF18" t="s">
        <v>312</v>
      </c>
      <c r="CI18">
        <v>3</v>
      </c>
      <c r="CJ18" t="s">
        <v>312</v>
      </c>
    </row>
    <row r="19" spans="1:88" x14ac:dyDescent="0.25">
      <c r="A19" s="79" t="s">
        <v>9</v>
      </c>
      <c r="B19" s="79">
        <v>10</v>
      </c>
      <c r="C19" s="68">
        <v>5</v>
      </c>
      <c r="D19" s="79">
        <v>29</v>
      </c>
      <c r="E19" s="68">
        <f t="shared" si="0"/>
        <v>6</v>
      </c>
      <c r="F19" s="68">
        <f t="shared" si="1"/>
        <v>3</v>
      </c>
      <c r="G19" s="79">
        <v>3</v>
      </c>
      <c r="H19" s="80">
        <v>3</v>
      </c>
      <c r="I19" s="79">
        <v>2</v>
      </c>
      <c r="J19" s="80">
        <v>3</v>
      </c>
      <c r="K19" s="79">
        <v>3</v>
      </c>
      <c r="L19" s="80">
        <v>3</v>
      </c>
      <c r="M19" s="79">
        <v>2</v>
      </c>
      <c r="N19" s="80">
        <v>2</v>
      </c>
      <c r="O19" s="79">
        <v>3</v>
      </c>
      <c r="P19" s="80">
        <v>3</v>
      </c>
      <c r="Q19" s="79">
        <v>3</v>
      </c>
      <c r="R19" s="80">
        <v>3</v>
      </c>
      <c r="S19" s="79">
        <v>3</v>
      </c>
      <c r="T19" s="80">
        <v>3</v>
      </c>
      <c r="U19" s="79">
        <v>3</v>
      </c>
      <c r="V19" s="80">
        <v>3</v>
      </c>
      <c r="AE19" s="79">
        <v>3</v>
      </c>
      <c r="AF19" s="80">
        <v>1</v>
      </c>
      <c r="AI19" s="120" t="s">
        <v>312</v>
      </c>
      <c r="AJ19" s="121" t="s">
        <v>312</v>
      </c>
      <c r="AK19" s="120">
        <v>3</v>
      </c>
      <c r="AL19" s="121">
        <v>3</v>
      </c>
      <c r="BA19">
        <v>3</v>
      </c>
      <c r="BB19">
        <v>3</v>
      </c>
      <c r="BK19">
        <v>3</v>
      </c>
      <c r="BL19">
        <v>3</v>
      </c>
      <c r="BM19">
        <v>3</v>
      </c>
      <c r="BN19">
        <v>3</v>
      </c>
      <c r="BQ19">
        <v>2</v>
      </c>
      <c r="BR19">
        <v>3</v>
      </c>
      <c r="BS19">
        <v>2</v>
      </c>
      <c r="BT19">
        <v>2</v>
      </c>
      <c r="BU19">
        <v>2</v>
      </c>
      <c r="BV19">
        <v>2</v>
      </c>
      <c r="BW19" t="s">
        <v>312</v>
      </c>
      <c r="BX19" t="s">
        <v>312</v>
      </c>
      <c r="BY19">
        <v>3</v>
      </c>
      <c r="BZ19">
        <v>3</v>
      </c>
      <c r="CA19">
        <v>3</v>
      </c>
      <c r="CB19">
        <v>2</v>
      </c>
      <c r="CC19">
        <v>3</v>
      </c>
      <c r="CD19">
        <v>3</v>
      </c>
      <c r="CE19">
        <v>3</v>
      </c>
      <c r="CF19">
        <v>2</v>
      </c>
      <c r="CI19">
        <v>3</v>
      </c>
      <c r="CJ19">
        <v>3</v>
      </c>
    </row>
    <row r="20" spans="1:88" x14ac:dyDescent="0.25">
      <c r="A20" s="79" t="s">
        <v>19</v>
      </c>
      <c r="B20" s="79">
        <v>6</v>
      </c>
      <c r="C20" s="68">
        <v>3</v>
      </c>
      <c r="D20" s="79">
        <v>16</v>
      </c>
      <c r="E20" s="68">
        <f t="shared" si="0"/>
        <v>6</v>
      </c>
      <c r="F20" s="68">
        <f t="shared" si="1"/>
        <v>3</v>
      </c>
      <c r="G20">
        <v>3</v>
      </c>
      <c r="H20">
        <v>3</v>
      </c>
      <c r="I20" s="79">
        <v>3</v>
      </c>
      <c r="J20" s="80">
        <v>3</v>
      </c>
      <c r="M20" s="79">
        <v>3</v>
      </c>
      <c r="N20" s="80">
        <v>3</v>
      </c>
      <c r="O20" s="79">
        <v>3</v>
      </c>
      <c r="P20" s="80">
        <v>3</v>
      </c>
      <c r="Q20" s="79">
        <v>3</v>
      </c>
      <c r="R20" s="80">
        <v>3</v>
      </c>
      <c r="W20" s="79">
        <v>3</v>
      </c>
      <c r="X20" s="80">
        <v>3</v>
      </c>
      <c r="Y20" s="79">
        <v>3</v>
      </c>
      <c r="Z20" s="80">
        <v>3</v>
      </c>
      <c r="AE20" s="79">
        <v>3</v>
      </c>
      <c r="AF20" s="80">
        <v>3</v>
      </c>
      <c r="AI20" s="120" t="s">
        <v>312</v>
      </c>
      <c r="AJ20" s="121" t="s">
        <v>312</v>
      </c>
      <c r="AK20" s="120">
        <v>3</v>
      </c>
      <c r="AL20" s="121">
        <v>3</v>
      </c>
      <c r="BA20">
        <v>3</v>
      </c>
      <c r="BB20">
        <v>3</v>
      </c>
      <c r="BQ20">
        <v>2</v>
      </c>
      <c r="BR20">
        <v>3</v>
      </c>
      <c r="BS20">
        <v>3</v>
      </c>
      <c r="BT20">
        <v>3</v>
      </c>
      <c r="BW20" t="s">
        <v>312</v>
      </c>
      <c r="BX20" t="s">
        <v>312</v>
      </c>
      <c r="BY20">
        <v>3</v>
      </c>
      <c r="BZ20">
        <v>3</v>
      </c>
    </row>
    <row r="21" spans="1:88" x14ac:dyDescent="0.25">
      <c r="A21" s="79" t="s">
        <v>7</v>
      </c>
      <c r="B21" s="79">
        <v>1</v>
      </c>
      <c r="C21" s="68">
        <v>0</v>
      </c>
      <c r="D21" s="79">
        <v>5</v>
      </c>
      <c r="E21" s="68">
        <f t="shared" si="0"/>
        <v>0</v>
      </c>
      <c r="F21" s="68" t="e">
        <f t="shared" si="1"/>
        <v>#DIV/0!</v>
      </c>
      <c r="Y21" s="79">
        <v>2</v>
      </c>
      <c r="Z21" s="80" t="s">
        <v>312</v>
      </c>
      <c r="AC21" s="79">
        <v>2</v>
      </c>
      <c r="AD21" s="80">
        <v>2</v>
      </c>
      <c r="AE21" s="79">
        <v>1</v>
      </c>
      <c r="AF21" s="80">
        <v>3</v>
      </c>
      <c r="BU21">
        <v>3</v>
      </c>
      <c r="BV21">
        <v>2</v>
      </c>
      <c r="CC21">
        <v>3</v>
      </c>
      <c r="CD21">
        <v>2</v>
      </c>
    </row>
    <row r="22" spans="1:88" x14ac:dyDescent="0.25">
      <c r="A22" s="79" t="s">
        <v>115</v>
      </c>
      <c r="B22" s="79">
        <v>9</v>
      </c>
      <c r="C22" s="68">
        <v>4</v>
      </c>
      <c r="D22" s="79">
        <v>16</v>
      </c>
      <c r="E22" s="68">
        <f t="shared" si="0"/>
        <v>0</v>
      </c>
      <c r="F22" s="68" t="e">
        <f t="shared" si="1"/>
        <v>#DIV/0!</v>
      </c>
      <c r="S22" s="79">
        <v>3</v>
      </c>
      <c r="T22" s="80">
        <v>3</v>
      </c>
      <c r="U22" s="79" t="s">
        <v>312</v>
      </c>
      <c r="V22" s="80" t="s">
        <v>312</v>
      </c>
      <c r="W22" s="79">
        <v>3</v>
      </c>
      <c r="X22" s="80">
        <v>3</v>
      </c>
      <c r="Y22" s="79">
        <v>3</v>
      </c>
      <c r="Z22" s="80">
        <v>3</v>
      </c>
      <c r="AC22" s="79">
        <v>3</v>
      </c>
      <c r="AD22" s="80">
        <v>3</v>
      </c>
      <c r="AE22" s="79">
        <v>2</v>
      </c>
      <c r="AF22" s="80">
        <v>3</v>
      </c>
      <c r="AI22" s="120" t="s">
        <v>312</v>
      </c>
      <c r="AJ22" s="121" t="s">
        <v>312</v>
      </c>
      <c r="AK22" s="120">
        <v>1</v>
      </c>
      <c r="AL22" s="121" t="s">
        <v>312</v>
      </c>
      <c r="BC22">
        <v>3</v>
      </c>
      <c r="BD22">
        <v>2</v>
      </c>
      <c r="BI22" t="s">
        <v>312</v>
      </c>
      <c r="BJ22" t="s">
        <v>312</v>
      </c>
      <c r="BM22">
        <v>3</v>
      </c>
      <c r="BN22">
        <v>3</v>
      </c>
      <c r="BO22">
        <v>3</v>
      </c>
      <c r="BP22">
        <v>1</v>
      </c>
      <c r="BQ22">
        <v>3</v>
      </c>
      <c r="BR22">
        <v>3</v>
      </c>
      <c r="BU22">
        <v>3</v>
      </c>
      <c r="BV22">
        <v>3</v>
      </c>
      <c r="CA22">
        <v>3</v>
      </c>
      <c r="CB22">
        <v>3</v>
      </c>
      <c r="CC22" t="s">
        <v>312</v>
      </c>
      <c r="CD22" t="s">
        <v>312</v>
      </c>
    </row>
    <row r="23" spans="1:88" x14ac:dyDescent="0.25">
      <c r="A23" s="79" t="s">
        <v>33</v>
      </c>
      <c r="B23" s="79">
        <v>6</v>
      </c>
      <c r="C23" s="68">
        <v>3</v>
      </c>
      <c r="D23" s="79">
        <v>16</v>
      </c>
      <c r="E23" s="68">
        <f t="shared" si="0"/>
        <v>0</v>
      </c>
      <c r="F23" s="68" t="e">
        <f t="shared" si="1"/>
        <v>#DIV/0!</v>
      </c>
      <c r="G23" t="s">
        <v>312</v>
      </c>
      <c r="H23" t="s">
        <v>312</v>
      </c>
      <c r="I23" s="79" t="s">
        <v>312</v>
      </c>
      <c r="J23" s="80" t="s">
        <v>312</v>
      </c>
      <c r="K23" s="79">
        <v>3</v>
      </c>
      <c r="L23" s="80">
        <v>3</v>
      </c>
      <c r="M23" s="79">
        <v>1</v>
      </c>
      <c r="N23" s="80">
        <v>1</v>
      </c>
      <c r="O23" s="79">
        <v>0</v>
      </c>
      <c r="P23" s="80" t="s">
        <v>312</v>
      </c>
      <c r="Q23" s="79">
        <v>2</v>
      </c>
      <c r="R23" s="80" t="s">
        <v>312</v>
      </c>
      <c r="W23" s="79">
        <v>3</v>
      </c>
      <c r="X23" s="80">
        <v>3</v>
      </c>
      <c r="Y23" s="79">
        <v>3</v>
      </c>
      <c r="Z23" s="80">
        <v>2</v>
      </c>
      <c r="AA23" s="79">
        <v>3</v>
      </c>
      <c r="AB23" s="80">
        <v>1</v>
      </c>
      <c r="AC23" s="79">
        <v>1</v>
      </c>
      <c r="AD23" s="80">
        <v>1</v>
      </c>
      <c r="AE23" s="79">
        <v>3</v>
      </c>
      <c r="AF23" s="80">
        <v>2</v>
      </c>
      <c r="AM23" s="120">
        <v>3</v>
      </c>
      <c r="AN23" s="121">
        <v>2</v>
      </c>
      <c r="BO23">
        <v>1</v>
      </c>
      <c r="BP23">
        <v>1</v>
      </c>
      <c r="BQ23">
        <v>3</v>
      </c>
      <c r="BR23">
        <v>1</v>
      </c>
      <c r="BU23" t="s">
        <v>312</v>
      </c>
      <c r="BV23" t="s">
        <v>312</v>
      </c>
      <c r="CA23">
        <v>3</v>
      </c>
      <c r="CB23">
        <v>2</v>
      </c>
    </row>
    <row r="24" spans="1:88" x14ac:dyDescent="0.25">
      <c r="A24" s="79" t="s">
        <v>28</v>
      </c>
      <c r="B24" s="79">
        <v>2</v>
      </c>
      <c r="C24" s="68">
        <v>1</v>
      </c>
      <c r="D24" s="79">
        <v>8</v>
      </c>
      <c r="E24" s="68">
        <f t="shared" si="0"/>
        <v>6</v>
      </c>
      <c r="F24" s="68">
        <f t="shared" si="1"/>
        <v>3</v>
      </c>
      <c r="G24" s="79">
        <v>3</v>
      </c>
      <c r="H24" s="80">
        <v>3</v>
      </c>
      <c r="I24" s="79">
        <v>2</v>
      </c>
      <c r="J24" s="80">
        <v>3</v>
      </c>
      <c r="O24" s="79">
        <v>3</v>
      </c>
      <c r="P24" s="80">
        <v>3</v>
      </c>
      <c r="Q24" s="79">
        <v>3</v>
      </c>
      <c r="R24" s="80">
        <v>3</v>
      </c>
      <c r="AU24" s="120">
        <v>3</v>
      </c>
      <c r="AV24" s="121">
        <v>3</v>
      </c>
      <c r="BA24">
        <v>3</v>
      </c>
      <c r="BB24">
        <v>2</v>
      </c>
      <c r="BE24">
        <v>3</v>
      </c>
      <c r="BF24">
        <v>2</v>
      </c>
      <c r="BG24" t="s">
        <v>312</v>
      </c>
      <c r="BH24" t="s">
        <v>312</v>
      </c>
    </row>
    <row r="25" spans="1:88" x14ac:dyDescent="0.25">
      <c r="A25" s="79" t="s">
        <v>10</v>
      </c>
      <c r="B25" s="79">
        <v>2</v>
      </c>
      <c r="C25" s="68">
        <v>1</v>
      </c>
      <c r="D25" s="79">
        <v>17</v>
      </c>
      <c r="E25" s="68">
        <f t="shared" si="0"/>
        <v>4</v>
      </c>
      <c r="F25" s="68">
        <f t="shared" si="1"/>
        <v>2</v>
      </c>
      <c r="G25" s="79">
        <v>3</v>
      </c>
      <c r="H25" s="80">
        <v>1</v>
      </c>
      <c r="I25" s="79">
        <v>1</v>
      </c>
      <c r="J25" s="80">
        <v>1</v>
      </c>
      <c r="K25" s="79">
        <v>3</v>
      </c>
      <c r="L25" s="80">
        <v>2</v>
      </c>
      <c r="M25" s="79">
        <v>1</v>
      </c>
      <c r="N25" s="80">
        <v>2</v>
      </c>
      <c r="O25" s="79">
        <v>1</v>
      </c>
      <c r="P25" s="80">
        <v>1</v>
      </c>
      <c r="Q25" s="79">
        <v>1</v>
      </c>
      <c r="R25" s="80">
        <v>3</v>
      </c>
      <c r="U25" s="79">
        <v>3</v>
      </c>
      <c r="V25" s="80">
        <v>2</v>
      </c>
      <c r="Y25" s="79">
        <v>2</v>
      </c>
      <c r="Z25" s="80">
        <v>2</v>
      </c>
      <c r="AA25" s="79">
        <v>3</v>
      </c>
      <c r="AB25" s="80">
        <v>3</v>
      </c>
      <c r="AI25" s="120" t="s">
        <v>312</v>
      </c>
      <c r="AJ25" s="121" t="s">
        <v>312</v>
      </c>
      <c r="AK25" s="120">
        <v>2</v>
      </c>
      <c r="AL25" s="121">
        <v>3</v>
      </c>
      <c r="AM25" s="120">
        <v>2</v>
      </c>
      <c r="AN25" s="121">
        <v>3</v>
      </c>
      <c r="AS25" s="120">
        <v>3</v>
      </c>
      <c r="AT25" s="121">
        <v>3</v>
      </c>
      <c r="BM25">
        <v>3</v>
      </c>
      <c r="BN25">
        <v>1</v>
      </c>
      <c r="BO25">
        <v>1</v>
      </c>
      <c r="BP25">
        <v>1</v>
      </c>
      <c r="BS25">
        <v>2</v>
      </c>
      <c r="BT25">
        <v>2</v>
      </c>
      <c r="CA25">
        <v>1</v>
      </c>
      <c r="CB25">
        <v>1</v>
      </c>
    </row>
    <row r="26" spans="1:88" x14ac:dyDescent="0.25">
      <c r="A26" s="79" t="s">
        <v>97</v>
      </c>
      <c r="B26" s="79">
        <v>0</v>
      </c>
      <c r="C26" s="68">
        <v>0</v>
      </c>
      <c r="D26" s="79">
        <v>1</v>
      </c>
      <c r="E26" s="68">
        <f t="shared" si="0"/>
        <v>0</v>
      </c>
      <c r="F26" s="68" t="e">
        <f t="shared" si="1"/>
        <v>#DIV/0!</v>
      </c>
      <c r="AS26" s="120">
        <v>3</v>
      </c>
      <c r="AT26" s="121">
        <v>2</v>
      </c>
    </row>
    <row r="27" spans="1:88" x14ac:dyDescent="0.25">
      <c r="A27" s="79" t="s">
        <v>4</v>
      </c>
      <c r="B27" s="79">
        <v>21</v>
      </c>
      <c r="C27" s="68">
        <v>10</v>
      </c>
      <c r="D27" s="79">
        <v>34</v>
      </c>
      <c r="E27" s="68">
        <f t="shared" si="0"/>
        <v>2</v>
      </c>
      <c r="F27" s="68">
        <f t="shared" si="1"/>
        <v>2</v>
      </c>
      <c r="G27" s="79">
        <v>2</v>
      </c>
      <c r="H27" s="80" t="s">
        <v>312</v>
      </c>
      <c r="I27" s="79">
        <v>2</v>
      </c>
      <c r="J27" s="80">
        <v>3</v>
      </c>
      <c r="K27" s="79" t="s">
        <v>312</v>
      </c>
      <c r="L27" s="80" t="s">
        <v>312</v>
      </c>
      <c r="O27" s="79">
        <v>3</v>
      </c>
      <c r="P27" s="80">
        <v>2</v>
      </c>
      <c r="Q27" s="79">
        <v>3</v>
      </c>
      <c r="R27" s="80">
        <v>3</v>
      </c>
      <c r="S27" s="79">
        <v>2</v>
      </c>
      <c r="T27" s="80">
        <v>2</v>
      </c>
      <c r="W27" s="79">
        <v>3</v>
      </c>
      <c r="X27" s="80">
        <v>3</v>
      </c>
      <c r="Y27" s="79">
        <v>2</v>
      </c>
      <c r="Z27" s="80">
        <v>3</v>
      </c>
      <c r="AA27" s="79">
        <v>3</v>
      </c>
      <c r="AB27" s="80">
        <v>2</v>
      </c>
      <c r="AC27" s="79">
        <v>2</v>
      </c>
      <c r="AD27" s="80">
        <v>3</v>
      </c>
      <c r="AI27" s="120" t="s">
        <v>312</v>
      </c>
      <c r="AJ27" s="121" t="s">
        <v>312</v>
      </c>
      <c r="AK27" s="120">
        <v>2</v>
      </c>
      <c r="AL27" s="121">
        <v>3</v>
      </c>
      <c r="AM27" s="120">
        <v>2</v>
      </c>
      <c r="AN27" s="121">
        <v>3</v>
      </c>
      <c r="AS27" s="120">
        <v>3</v>
      </c>
      <c r="AT27" s="121">
        <v>3</v>
      </c>
      <c r="AU27" s="120">
        <v>3</v>
      </c>
      <c r="AV27" s="121">
        <v>3</v>
      </c>
      <c r="BA27">
        <v>2</v>
      </c>
      <c r="BB27">
        <v>3</v>
      </c>
      <c r="BC27">
        <v>3</v>
      </c>
      <c r="BD27">
        <v>3</v>
      </c>
      <c r="BE27">
        <v>3</v>
      </c>
      <c r="BF27">
        <v>3</v>
      </c>
      <c r="BG27">
        <v>2</v>
      </c>
      <c r="BH27">
        <v>3</v>
      </c>
      <c r="BK27">
        <v>3</v>
      </c>
      <c r="BL27">
        <v>2</v>
      </c>
      <c r="BM27">
        <v>3</v>
      </c>
      <c r="BN27">
        <v>3</v>
      </c>
      <c r="BO27">
        <v>3</v>
      </c>
      <c r="BP27">
        <v>3</v>
      </c>
      <c r="BQ27" t="s">
        <v>312</v>
      </c>
      <c r="BR27" t="s">
        <v>312</v>
      </c>
      <c r="BS27" t="s">
        <v>312</v>
      </c>
      <c r="BT27" t="s">
        <v>312</v>
      </c>
      <c r="BU27">
        <v>2</v>
      </c>
      <c r="BV27">
        <v>1</v>
      </c>
      <c r="CC27" t="s">
        <v>312</v>
      </c>
      <c r="CD27" t="s">
        <v>312</v>
      </c>
      <c r="CE27" t="s">
        <v>312</v>
      </c>
      <c r="CF27" t="s">
        <v>312</v>
      </c>
      <c r="CI27" t="s">
        <v>312</v>
      </c>
      <c r="CJ27" t="s">
        <v>312</v>
      </c>
    </row>
    <row r="28" spans="1:88" x14ac:dyDescent="0.25">
      <c r="A28" s="79" t="s">
        <v>313</v>
      </c>
      <c r="B28" s="79">
        <v>2</v>
      </c>
      <c r="C28" s="68">
        <v>1</v>
      </c>
      <c r="D28" s="79">
        <v>1</v>
      </c>
      <c r="E28" s="68">
        <f t="shared" si="0"/>
        <v>0</v>
      </c>
      <c r="F28" s="68" t="e">
        <f t="shared" si="1"/>
        <v>#DIV/0!</v>
      </c>
      <c r="AI28" s="120"/>
      <c r="AJ28" s="121"/>
      <c r="AK28" s="120"/>
      <c r="AL28" s="121"/>
      <c r="AM28" s="120"/>
      <c r="AN28" s="121"/>
      <c r="AO28" s="120"/>
      <c r="AP28" s="121"/>
      <c r="CC28" t="s">
        <v>312</v>
      </c>
      <c r="CD28" t="s">
        <v>312</v>
      </c>
    </row>
    <row r="29" spans="1:88" x14ac:dyDescent="0.25">
      <c r="A29" s="79" t="s">
        <v>21</v>
      </c>
      <c r="B29" s="79">
        <v>8</v>
      </c>
      <c r="C29" s="68">
        <v>4</v>
      </c>
      <c r="D29" s="79">
        <v>12</v>
      </c>
      <c r="E29" s="68">
        <f t="shared" si="0"/>
        <v>4</v>
      </c>
      <c r="F29" s="68">
        <f t="shared" si="1"/>
        <v>2</v>
      </c>
      <c r="G29">
        <v>2</v>
      </c>
      <c r="H29">
        <v>2</v>
      </c>
      <c r="AI29" s="120"/>
      <c r="AJ29" s="121"/>
      <c r="AK29" s="120"/>
      <c r="AL29" s="121"/>
      <c r="AM29" s="120"/>
      <c r="AN29" s="121"/>
      <c r="AO29" s="120"/>
      <c r="AP29" s="121"/>
      <c r="CA29">
        <v>3</v>
      </c>
      <c r="CB29">
        <v>3</v>
      </c>
      <c r="CC29">
        <v>1</v>
      </c>
      <c r="CD29">
        <v>1</v>
      </c>
      <c r="CE29">
        <v>3</v>
      </c>
      <c r="CF29">
        <v>2</v>
      </c>
      <c r="CI29">
        <v>3</v>
      </c>
      <c r="CJ29">
        <v>1</v>
      </c>
    </row>
    <row r="30" spans="1:88" x14ac:dyDescent="0.25">
      <c r="A30" s="79" t="s">
        <v>314</v>
      </c>
      <c r="B30" s="79">
        <v>8</v>
      </c>
      <c r="C30" s="68">
        <v>4</v>
      </c>
      <c r="D30" s="79">
        <v>5</v>
      </c>
      <c r="E30" s="68">
        <f t="shared" si="0"/>
        <v>5</v>
      </c>
      <c r="F30" s="68">
        <f t="shared" si="1"/>
        <v>2.5</v>
      </c>
      <c r="G30">
        <v>3</v>
      </c>
      <c r="H30">
        <v>2</v>
      </c>
      <c r="AI30" s="120"/>
      <c r="AJ30" s="121"/>
      <c r="AK30" s="120"/>
      <c r="AL30" s="121"/>
      <c r="AM30" s="120"/>
      <c r="AN30" s="121"/>
      <c r="AO30" s="120"/>
      <c r="AP30" s="121"/>
    </row>
    <row r="31" spans="1:88" x14ac:dyDescent="0.25">
      <c r="A31" s="79" t="s">
        <v>26</v>
      </c>
      <c r="B31" s="79">
        <v>0</v>
      </c>
      <c r="C31" s="68">
        <v>0</v>
      </c>
      <c r="D31" s="79">
        <v>0</v>
      </c>
      <c r="E31" s="68">
        <f t="shared" si="0"/>
        <v>0</v>
      </c>
      <c r="F31" s="68" t="e">
        <f t="shared" si="1"/>
        <v>#DIV/0!</v>
      </c>
      <c r="AI31" s="120"/>
      <c r="AJ31" s="121"/>
      <c r="AK31" s="120"/>
      <c r="AL31" s="121"/>
      <c r="AM31" s="120"/>
      <c r="AN31" s="121"/>
      <c r="AO31" s="120"/>
      <c r="AP31" s="121"/>
    </row>
    <row r="32" spans="1:88" x14ac:dyDescent="0.25">
      <c r="A32" s="79" t="s">
        <v>12</v>
      </c>
      <c r="B32" s="79">
        <v>10</v>
      </c>
      <c r="C32" s="68">
        <v>5</v>
      </c>
      <c r="D32" s="79">
        <v>9</v>
      </c>
      <c r="E32" s="68">
        <f t="shared" si="0"/>
        <v>6</v>
      </c>
      <c r="F32" s="68">
        <f t="shared" si="1"/>
        <v>3</v>
      </c>
      <c r="G32">
        <v>3</v>
      </c>
      <c r="H32">
        <v>3</v>
      </c>
      <c r="AI32" s="120"/>
      <c r="AJ32" s="121"/>
      <c r="AK32" s="120"/>
      <c r="AL32" s="121"/>
      <c r="AM32" s="120"/>
      <c r="AN32" s="121"/>
      <c r="AO32" s="120"/>
      <c r="AP32" s="121"/>
    </row>
    <row r="33" spans="1:42" x14ac:dyDescent="0.25">
      <c r="A33" s="79" t="s">
        <v>31</v>
      </c>
      <c r="B33" s="79">
        <v>6</v>
      </c>
      <c r="C33" s="68">
        <v>3</v>
      </c>
      <c r="D33" s="79">
        <v>5</v>
      </c>
      <c r="E33" s="68">
        <f t="shared" si="0"/>
        <v>2</v>
      </c>
      <c r="F33" s="68">
        <f t="shared" si="1"/>
        <v>1</v>
      </c>
      <c r="G33">
        <v>1</v>
      </c>
      <c r="H33">
        <v>1</v>
      </c>
      <c r="AI33" s="120"/>
      <c r="AJ33" s="121"/>
      <c r="AK33" s="120"/>
      <c r="AL33" s="121"/>
      <c r="AM33" s="120"/>
      <c r="AN33" s="121"/>
      <c r="AO33" s="120"/>
      <c r="AP33" s="121"/>
    </row>
    <row r="34" spans="1:42" x14ac:dyDescent="0.25">
      <c r="A34" s="79" t="s">
        <v>30</v>
      </c>
      <c r="B34" s="79">
        <v>0</v>
      </c>
      <c r="C34" s="68">
        <v>0</v>
      </c>
      <c r="D34" s="79">
        <v>0</v>
      </c>
      <c r="E34" s="68">
        <f t="shared" ref="E34:E50" si="2">SUM(G34:H34)</f>
        <v>0</v>
      </c>
      <c r="F34" s="68" t="e">
        <f t="shared" ref="F34:F65" si="3">ROUND(AVERAGE(G34:H34),1)</f>
        <v>#DIV/0!</v>
      </c>
      <c r="AI34" s="120"/>
      <c r="AJ34" s="121"/>
      <c r="AK34" s="120"/>
      <c r="AL34" s="121"/>
      <c r="AM34" s="120"/>
      <c r="AN34" s="121"/>
      <c r="AO34" s="120"/>
      <c r="AP34" s="121"/>
    </row>
    <row r="35" spans="1:42" x14ac:dyDescent="0.25">
      <c r="A35" s="79" t="s">
        <v>315</v>
      </c>
      <c r="B35" s="79">
        <v>6</v>
      </c>
      <c r="C35" s="68">
        <v>3</v>
      </c>
      <c r="D35" s="79">
        <v>4</v>
      </c>
      <c r="E35" s="68">
        <f t="shared" si="2"/>
        <v>5</v>
      </c>
      <c r="F35" s="68">
        <f t="shared" si="3"/>
        <v>2.5</v>
      </c>
      <c r="G35">
        <v>3</v>
      </c>
      <c r="H35">
        <v>2</v>
      </c>
      <c r="AI35" s="120"/>
      <c r="AJ35" s="121"/>
      <c r="AK35" s="120"/>
      <c r="AL35" s="121"/>
      <c r="AM35" s="120"/>
      <c r="AN35" s="121"/>
      <c r="AO35" s="120"/>
      <c r="AP35" s="121"/>
    </row>
    <row r="36" spans="1:42" x14ac:dyDescent="0.25">
      <c r="A36" s="79" t="s">
        <v>316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</row>
    <row r="37" spans="1:42" x14ac:dyDescent="0.25">
      <c r="A37" s="79" t="s">
        <v>317</v>
      </c>
      <c r="B37" s="79">
        <v>9</v>
      </c>
      <c r="C37" s="68">
        <v>4</v>
      </c>
      <c r="D37" s="79">
        <v>6</v>
      </c>
      <c r="E37" s="68">
        <f t="shared" si="2"/>
        <v>6</v>
      </c>
      <c r="F37" s="68">
        <f t="shared" si="3"/>
        <v>3</v>
      </c>
      <c r="G37">
        <v>3</v>
      </c>
      <c r="H37">
        <v>3</v>
      </c>
      <c r="AI37" s="120"/>
      <c r="AJ37" s="121"/>
      <c r="AK37" s="120"/>
      <c r="AL37" s="121"/>
      <c r="AM37" s="120"/>
      <c r="AN37" s="121"/>
      <c r="AO37" s="120"/>
      <c r="AP37" s="121"/>
    </row>
    <row r="38" spans="1:42" x14ac:dyDescent="0.25">
      <c r="A38" s="79" t="s">
        <v>318</v>
      </c>
      <c r="B38" s="79">
        <v>3</v>
      </c>
      <c r="C38" s="68">
        <v>1</v>
      </c>
      <c r="D38" s="79">
        <v>3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</row>
    <row r="39" spans="1:42" x14ac:dyDescent="0.25">
      <c r="A39" s="79" t="s">
        <v>319</v>
      </c>
      <c r="B39" s="79">
        <v>10</v>
      </c>
      <c r="C39" s="68">
        <v>4</v>
      </c>
      <c r="D39" s="79">
        <v>7</v>
      </c>
      <c r="E39" s="68">
        <f t="shared" si="2"/>
        <v>0</v>
      </c>
      <c r="F39" s="68" t="e">
        <f t="shared" si="3"/>
        <v>#DIV/0!</v>
      </c>
      <c r="G39" t="s">
        <v>312</v>
      </c>
      <c r="H39" t="s">
        <v>312</v>
      </c>
      <c r="AI39" s="120"/>
      <c r="AJ39" s="121"/>
      <c r="AK39" s="120"/>
      <c r="AL39" s="121"/>
      <c r="AM39" s="120"/>
      <c r="AN39" s="121"/>
      <c r="AO39" s="120"/>
      <c r="AP39" s="121"/>
    </row>
    <row r="40" spans="1:42" x14ac:dyDescent="0.25">
      <c r="A40" s="79" t="s">
        <v>320</v>
      </c>
      <c r="B40" s="79">
        <v>4</v>
      </c>
      <c r="C40" s="68">
        <v>2</v>
      </c>
      <c r="D40" s="79">
        <v>5</v>
      </c>
      <c r="E40" s="68">
        <f t="shared" si="2"/>
        <v>3</v>
      </c>
      <c r="F40" s="68">
        <f t="shared" si="3"/>
        <v>1.5</v>
      </c>
      <c r="G40">
        <v>1</v>
      </c>
      <c r="H40">
        <v>2</v>
      </c>
      <c r="AI40" s="120"/>
      <c r="AJ40" s="121"/>
      <c r="AK40" s="120"/>
      <c r="AL40" s="121"/>
      <c r="AM40" s="120"/>
      <c r="AN40" s="121"/>
      <c r="AO40" s="120"/>
      <c r="AP40" s="121"/>
    </row>
    <row r="41" spans="1:42" x14ac:dyDescent="0.25">
      <c r="A41" s="79" t="s">
        <v>321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42" x14ac:dyDescent="0.25">
      <c r="A42" s="79" t="s">
        <v>322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42" x14ac:dyDescent="0.25">
      <c r="A43" s="79" t="s">
        <v>323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42" x14ac:dyDescent="0.25">
      <c r="A44" s="79" t="s">
        <v>324</v>
      </c>
      <c r="B44" s="79">
        <v>0</v>
      </c>
      <c r="C44" s="68">
        <v>0</v>
      </c>
      <c r="D44" s="79">
        <v>0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</row>
    <row r="45" spans="1:42" x14ac:dyDescent="0.25">
      <c r="A45" s="79" t="s">
        <v>325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42" x14ac:dyDescent="0.25">
      <c r="A46" s="79" t="s">
        <v>326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42" x14ac:dyDescent="0.25">
      <c r="A47" s="79" t="s">
        <v>327</v>
      </c>
      <c r="B47" s="79">
        <v>0</v>
      </c>
      <c r="C47" s="68">
        <v>0</v>
      </c>
      <c r="D47" s="79">
        <v>1</v>
      </c>
      <c r="E47" s="68">
        <f t="shared" si="2"/>
        <v>4</v>
      </c>
      <c r="F47" s="68">
        <f t="shared" si="3"/>
        <v>2</v>
      </c>
      <c r="G47">
        <v>2</v>
      </c>
      <c r="H47">
        <v>2</v>
      </c>
      <c r="AI47" s="120"/>
      <c r="AJ47" s="121"/>
      <c r="AK47" s="120"/>
      <c r="AL47" s="121"/>
      <c r="AM47" s="120"/>
      <c r="AN47" s="121"/>
      <c r="AO47" s="120"/>
      <c r="AP47" s="121"/>
    </row>
    <row r="48" spans="1:42" x14ac:dyDescent="0.25">
      <c r="A48" s="79" t="s">
        <v>328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329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330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</sheetData>
  <autoFilter ref="A1:CL1" xr:uid="{00000000-0009-0000-0000-000008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CWL 1</vt:lpstr>
      <vt:lpstr>CWL 2</vt:lpstr>
      <vt:lpstr>CWL 3</vt:lpstr>
      <vt:lpstr>CWL 4</vt:lpstr>
      <vt:lpstr>CWL 5</vt:lpstr>
      <vt:lpstr>CWL 6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2026-05-31T14:46:12Z</dcterms:modified>
</cp:coreProperties>
</file>