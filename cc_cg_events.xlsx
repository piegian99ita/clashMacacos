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piegi\Documents\GitHub\clashMacacos\"/>
    </mc:Choice>
  </mc:AlternateContent>
  <xr:revisionPtr revIDLastSave="0" documentId="13_ncr:1_{C3D51ACD-1284-4C11-987D-C4A2841C31C7}" xr6:coauthVersionLast="47" xr6:coauthVersionMax="47" xr10:uidLastSave="{00000000-0000-0000-0000-000000000000}"/>
  <bookViews>
    <workbookView xWindow="19090" yWindow="-720" windowWidth="19420" windowHeight="11500" activeTab="1" xr2:uid="{00000000-000D-0000-FFFF-FFFF00000000}"/>
  </bookViews>
  <sheets>
    <sheet name="clan games" sheetId="1" r:id="rId1"/>
    <sheet name="CLAN CAPITAL" sheetId="2" r:id="rId2"/>
    <sheet name="eventi" sheetId="3" r:id="rId3"/>
  </sheets>
  <definedNames>
    <definedName name="_xlnm._FilterDatabase" localSheetId="1" hidden="1">'CLAN CAPITAL'!$A$1:$AT$1</definedName>
    <definedName name="_xlnm._FilterDatabase" localSheetId="0" hidden="1">'clan games'!$A$1:$AA$1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" i="2" l="1"/>
  <c r="C47" i="2"/>
  <c r="C45" i="2"/>
  <c r="C48" i="2"/>
  <c r="C46" i="2"/>
  <c r="C50" i="2"/>
  <c r="C49" i="2"/>
  <c r="C43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42" i="2"/>
  <c r="C41" i="2"/>
  <c r="C15" i="2"/>
  <c r="C14" i="2"/>
  <c r="C13" i="2"/>
  <c r="C12" i="2"/>
  <c r="C40" i="2"/>
  <c r="C11" i="2"/>
  <c r="C10" i="2"/>
  <c r="C9" i="2"/>
  <c r="C8" i="2"/>
  <c r="C7" i="2"/>
  <c r="C39" i="2"/>
  <c r="C38" i="2"/>
  <c r="C6" i="2"/>
  <c r="C37" i="2"/>
  <c r="C5" i="2"/>
  <c r="C30" i="2"/>
  <c r="C36" i="2"/>
  <c r="C4" i="2"/>
  <c r="C35" i="2"/>
  <c r="C3" i="2"/>
  <c r="C34" i="2"/>
  <c r="C33" i="2"/>
  <c r="C2" i="2"/>
  <c r="C32" i="2"/>
  <c r="C31" i="2"/>
  <c r="D50" i="1"/>
  <c r="C50" i="1"/>
  <c r="D49" i="1"/>
  <c r="C49" i="1"/>
  <c r="D48" i="1"/>
  <c r="C48" i="1"/>
  <c r="D47" i="1"/>
  <c r="C47" i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D30" i="1"/>
  <c r="C30" i="1"/>
  <c r="D29" i="1"/>
  <c r="C29" i="1"/>
  <c r="D28" i="1"/>
  <c r="C28" i="1"/>
  <c r="D27" i="1"/>
  <c r="C27" i="1"/>
  <c r="D26" i="1"/>
  <c r="C26" i="1"/>
  <c r="D25" i="1"/>
  <c r="C25" i="1"/>
  <c r="D24" i="1"/>
  <c r="C24" i="1"/>
  <c r="D23" i="1"/>
  <c r="C23" i="1"/>
  <c r="D22" i="1"/>
  <c r="C22" i="1"/>
  <c r="D21" i="1"/>
  <c r="C21" i="1"/>
  <c r="D20" i="1"/>
  <c r="C20" i="1"/>
  <c r="D19" i="1"/>
  <c r="C19" i="1"/>
  <c r="D18" i="1"/>
  <c r="C18" i="1"/>
  <c r="D17" i="1"/>
  <c r="C17" i="1"/>
  <c r="D16" i="1"/>
  <c r="C16" i="1"/>
  <c r="D15" i="1"/>
  <c r="C15" i="1"/>
  <c r="D14" i="1"/>
  <c r="C14" i="1"/>
  <c r="D13" i="1"/>
  <c r="C13" i="1"/>
  <c r="D12" i="1"/>
  <c r="C12" i="1"/>
  <c r="D11" i="1"/>
  <c r="C11" i="1"/>
  <c r="D10" i="1"/>
  <c r="C10" i="1"/>
  <c r="D9" i="1"/>
  <c r="C9" i="1"/>
  <c r="D8" i="1"/>
  <c r="C8" i="1"/>
  <c r="D7" i="1"/>
  <c r="C7" i="1"/>
  <c r="D6" i="1"/>
  <c r="C6" i="1"/>
  <c r="D5" i="1"/>
  <c r="C5" i="1"/>
  <c r="D4" i="1"/>
  <c r="C4" i="1"/>
  <c r="D3" i="1"/>
  <c r="C3" i="1"/>
  <c r="D2" i="1"/>
  <c r="C2" i="1"/>
</calcChain>
</file>

<file path=xl/sharedStrings.xml><?xml version="1.0" encoding="utf-8"?>
<sst xmlns="http://schemas.openxmlformats.org/spreadsheetml/2006/main" count="326" uniqueCount="152">
  <si>
    <t>NOME</t>
  </si>
  <si>
    <t>DATA</t>
  </si>
  <si>
    <t>MEDIA</t>
  </si>
  <si>
    <t>TOTALE</t>
  </si>
  <si>
    <t>ACHIEVMENT</t>
  </si>
  <si>
    <t>22/10/2025</t>
  </si>
  <si>
    <t>22/11/2025</t>
  </si>
  <si>
    <t>22/12/2025</t>
  </si>
  <si>
    <t>22/01/2026</t>
  </si>
  <si>
    <t>22/02/2026</t>
  </si>
  <si>
    <t>22/03/2026</t>
  </si>
  <si>
    <t>22/04/2024</t>
  </si>
  <si>
    <t>22/05/2026</t>
  </si>
  <si>
    <t>22/06/2026</t>
  </si>
  <si>
    <t>22/07/2026</t>
  </si>
  <si>
    <t>Colonna10</t>
  </si>
  <si>
    <t>Colonna11</t>
  </si>
  <si>
    <t>Colonna12</t>
  </si>
  <si>
    <t>Colonna13</t>
  </si>
  <si>
    <t>Colonna14</t>
  </si>
  <si>
    <t>Colonna15</t>
  </si>
  <si>
    <t>Colonna16</t>
  </si>
  <si>
    <t>Colonna17</t>
  </si>
  <si>
    <t>Colonna18</t>
  </si>
  <si>
    <t>Colonna19</t>
  </si>
  <si>
    <t>Colonna20</t>
  </si>
  <si>
    <t>Colonna21</t>
  </si>
  <si>
    <t>¥CATA¥</t>
  </si>
  <si>
    <t>16/01/2026</t>
  </si>
  <si>
    <t>655321</t>
  </si>
  <si>
    <t>ajejebrazorf</t>
  </si>
  <si>
    <t>15/12/2025</t>
  </si>
  <si>
    <t>Ale22</t>
  </si>
  <si>
    <t>alhfmfh</t>
  </si>
  <si>
    <t>andriu07</t>
  </si>
  <si>
    <t>BigMc23</t>
  </si>
  <si>
    <t>buff x-bow</t>
  </si>
  <si>
    <t>Chabby</t>
  </si>
  <si>
    <t>dado</t>
  </si>
  <si>
    <t>EdoDodo</t>
  </si>
  <si>
    <t>ER DANDI 1927</t>
  </si>
  <si>
    <t>fabiovesco</t>
  </si>
  <si>
    <t>21/01/2026</t>
  </si>
  <si>
    <t>Floky23</t>
  </si>
  <si>
    <t>francesco</t>
  </si>
  <si>
    <t>Fryck</t>
  </si>
  <si>
    <t>gionny</t>
  </si>
  <si>
    <t>Giorgio</t>
  </si>
  <si>
    <t>26/12/2025</t>
  </si>
  <si>
    <t>GiornoBrando</t>
  </si>
  <si>
    <t>21/12/2025</t>
  </si>
  <si>
    <t>GioStyle</t>
  </si>
  <si>
    <t>haha</t>
  </si>
  <si>
    <t>HikariNoRob</t>
  </si>
  <si>
    <t>Killer46</t>
  </si>
  <si>
    <t>26/01/2026</t>
  </si>
  <si>
    <t>Kle</t>
  </si>
  <si>
    <t>25/01/2026</t>
  </si>
  <si>
    <t>leo</t>
  </si>
  <si>
    <t>LucFir3</t>
  </si>
  <si>
    <t>Luigi</t>
  </si>
  <si>
    <t>Luxor</t>
  </si>
  <si>
    <t>maikol_lix</t>
  </si>
  <si>
    <t>piegian99</t>
  </si>
  <si>
    <t>pigiamone99</t>
  </si>
  <si>
    <t>PIPPII</t>
  </si>
  <si>
    <t>revolver</t>
  </si>
  <si>
    <t>Rixxy</t>
  </si>
  <si>
    <t>24/01/2026</t>
  </si>
  <si>
    <t>RobbyCV</t>
  </si>
  <si>
    <t>Roberta</t>
  </si>
  <si>
    <t>serra008</t>
  </si>
  <si>
    <t>Simone</t>
  </si>
  <si>
    <t>Stentaaa</t>
  </si>
  <si>
    <t>SubOhm</t>
  </si>
  <si>
    <t>tazio</t>
  </si>
  <si>
    <t>th4nos</t>
  </si>
  <si>
    <t>The_Boff01</t>
  </si>
  <si>
    <t>Valh</t>
  </si>
  <si>
    <t>xbladze</t>
  </si>
  <si>
    <t>zordan</t>
  </si>
  <si>
    <t>Leonida</t>
  </si>
  <si>
    <t>28/01/2026</t>
  </si>
  <si>
    <t>tuspostati</t>
  </si>
  <si>
    <t>IL MAGO NERO</t>
  </si>
  <si>
    <t>23/11/2025</t>
  </si>
  <si>
    <t>30/11/2025</t>
  </si>
  <si>
    <t>07/12/2025</t>
  </si>
  <si>
    <t>14/12/2025</t>
  </si>
  <si>
    <t>19/12/2025</t>
  </si>
  <si>
    <t>02/01/2026</t>
  </si>
  <si>
    <t>09/01/2026</t>
  </si>
  <si>
    <t>23/01/2026</t>
  </si>
  <si>
    <t>30/01/2026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</si>
  <si>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</si>
  <si>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</si>
  <si>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</si>
  <si>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</si>
  <si>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</si>
  <si>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</si>
  <si>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</si>
  <si>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</si>
  <si>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</si>
  <si>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</si>
  <si>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</si>
  <si>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03/01/2026</t>
  </si>
  <si>
    <t>12/01/2026</t>
  </si>
  <si>
    <t>17/01/2026</t>
  </si>
  <si>
    <t>29/12/2025</t>
  </si>
  <si>
    <t>05/01/2026</t>
  </si>
  <si>
    <t>K A N E K I</t>
  </si>
  <si>
    <t>31/01/2026</t>
  </si>
  <si>
    <t>Diti</t>
  </si>
  <si>
    <t>Darvix27</t>
  </si>
  <si>
    <t>01/02/2026</t>
  </si>
  <si>
    <t>favretto</t>
  </si>
  <si>
    <t>02/02/2026</t>
  </si>
  <si>
    <t>caccialama</t>
  </si>
  <si>
    <t>NOMEE</t>
  </si>
  <si>
    <t>ASCIA</t>
  </si>
  <si>
    <t>Colonna2</t>
  </si>
  <si>
    <t>Colonna3</t>
  </si>
  <si>
    <t>Colonna4</t>
  </si>
  <si>
    <t>Colonna5</t>
  </si>
  <si>
    <t>Colonna6</t>
  </si>
  <si>
    <t>Colonna7</t>
  </si>
  <si>
    <t>Colonna8</t>
  </si>
  <si>
    <t>Colonna9</t>
  </si>
  <si>
    <t>LELE11GAM3R</t>
  </si>
  <si>
    <t>marcojk007</t>
  </si>
  <si>
    <t>Rosario</t>
  </si>
  <si>
    <t>Matty7_</t>
  </si>
  <si>
    <t>kakko garau</t>
  </si>
  <si>
    <t>shark</t>
  </si>
  <si>
    <t>Alaa</t>
  </si>
  <si>
    <t>giosan</t>
  </si>
  <si>
    <t>⚡️ZAC⚡️</t>
  </si>
  <si>
    <t>hh</t>
  </si>
  <si>
    <t>king</t>
  </si>
  <si>
    <t>Cleopatra</t>
  </si>
  <si>
    <t>D 011</t>
  </si>
  <si>
    <t>lord pucci</t>
  </si>
  <si>
    <t>CARFI</t>
  </si>
  <si>
    <t>tustrunz</t>
  </si>
  <si>
    <t>TRAITO TNT</t>
  </si>
  <si>
    <t>gh</t>
  </si>
  <si>
    <t>dux104</t>
  </si>
  <si>
    <t>sono io lakaka</t>
  </si>
  <si>
    <t>Brazo</t>
  </si>
  <si>
    <t>sidcu js</t>
  </si>
  <si>
    <t>zombra</t>
  </si>
  <si>
    <t>luigi01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</si>
</sst>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9.9978637043366805E-2"/>
      </bottom>
      <diagonal/>
    </border>
    <border>
      <left style="medium">
        <color indexed="64"/>
      </left>
      <right style="medium">
        <color indexed="64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2" xfId="0" applyBorder="1" applyAlignment="1">
      <alignment horizontal="center"/>
    </xf>
    <xf numFmtId="0" fontId="2" fillId="0" borderId="3" xfId="0" applyFont="1" applyBorder="1" applyAlignment="1">
      <alignment horizontal="center"/>
    </xf>
    <xf numFmtId="49" fontId="0" fillId="0" borderId="0" xfId="0" applyNumberFormat="1"/>
    <xf numFmtId="49" fontId="2" fillId="2" borderId="4" xfId="0" applyNumberFormat="1" applyFont="1" applyFill="1" applyBorder="1" applyAlignment="1">
      <alignment horizontal="center"/>
    </xf>
    <xf numFmtId="49" fontId="2" fillId="2" borderId="5" xfId="0" applyNumberFormat="1" applyFont="1" applyFill="1" applyBorder="1" applyAlignment="1">
      <alignment horizontal="center"/>
    </xf>
    <xf numFmtId="49" fontId="2" fillId="2" borderId="6" xfId="0" applyNumberFormat="1" applyFont="1" applyFill="1" applyBorder="1"/>
    <xf numFmtId="49" fontId="2" fillId="3" borderId="7" xfId="0" applyNumberFormat="1" applyFont="1" applyFill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49" fontId="2" fillId="3" borderId="8" xfId="0" applyNumberFormat="1" applyFont="1" applyFill="1" applyBorder="1" applyAlignment="1">
      <alignment horizontal="center" vertical="center"/>
    </xf>
    <xf numFmtId="49" fontId="2" fillId="3" borderId="9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49" fontId="2" fillId="2" borderId="11" xfId="0" applyNumberFormat="1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/>
    <xf numFmtId="49" fontId="0" fillId="0" borderId="11" xfId="0" applyNumberFormat="1" applyBorder="1" applyAlignment="1">
      <alignment horizontal="center"/>
    </xf>
    <xf numFmtId="49" fontId="0" fillId="0" borderId="12" xfId="0" applyNumberFormat="1" applyBorder="1" applyAlignment="1">
      <alignment horizontal="center"/>
    </xf>
    <xf numFmtId="49" fontId="2" fillId="2" borderId="13" xfId="0" applyNumberFormat="1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3" displayName="Tabella3" ref="A1:S51" totalsRowShown="0">
  <autoFilter ref="A1:S51" xr:uid="{00000000-0009-0000-0100-000001000000}"/>
  <sortState xmlns:xlrd2="http://schemas.microsoft.com/office/spreadsheetml/2017/richdata2" ref="A2:S51">
    <sortCondition ref="B1:B51"/>
  </sortState>
  <tableColumns count="19">
    <tableColumn id="1" xr3:uid="{00000000-0010-0000-0000-000001000000}" name="NOMEE" dataDxfId="0"/>
    <tableColumn id="2" xr3:uid="{00000000-0010-0000-0000-000002000000}" name="ASCIA"/>
    <tableColumn id="3" xr3:uid="{00000000-0010-0000-0000-000003000000}" name="Colonna2"/>
    <tableColumn id="4" xr3:uid="{00000000-0010-0000-0000-000004000000}" name="Colonna3"/>
    <tableColumn id="5" xr3:uid="{00000000-0010-0000-0000-000005000000}" name="Colonna4"/>
    <tableColumn id="6" xr3:uid="{00000000-0010-0000-0000-000006000000}" name="Colonna5"/>
    <tableColumn id="7" xr3:uid="{00000000-0010-0000-0000-000007000000}" name="Colonna6"/>
    <tableColumn id="8" xr3:uid="{00000000-0010-0000-0000-000008000000}" name="Colonna7"/>
    <tableColumn id="9" xr3:uid="{00000000-0010-0000-0000-000009000000}" name="Colonna8"/>
    <tableColumn id="10" xr3:uid="{00000000-0010-0000-0000-00000A000000}" name="Colonna9"/>
    <tableColumn id="11" xr3:uid="{00000000-0010-0000-0000-00000B000000}" name="Colonna10"/>
    <tableColumn id="12" xr3:uid="{00000000-0010-0000-0000-00000C000000}" name="Colonna11"/>
    <tableColumn id="13" xr3:uid="{00000000-0010-0000-0000-00000D000000}" name="Colonna12"/>
    <tableColumn id="14" xr3:uid="{00000000-0010-0000-0000-00000E000000}" name="Colonna13"/>
    <tableColumn id="15" xr3:uid="{00000000-0010-0000-0000-00000F000000}" name="Colonna14"/>
    <tableColumn id="16" xr3:uid="{00000000-0010-0000-0000-000010000000}" name="Colonna15"/>
    <tableColumn id="17" xr3:uid="{00000000-0010-0000-0000-000011000000}" name="Colonna16"/>
    <tableColumn id="18" xr3:uid="{00000000-0010-0000-0000-000012000000}" name="Colonna17"/>
    <tableColumn id="19" xr3:uid="{00000000-0010-0000-0000-000013000000}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1"/>
  <sheetViews>
    <sheetView topLeftCell="A24" workbookViewId="0">
      <selection activeCell="A14" sqref="A14:XFD14"/>
    </sheetView>
  </sheetViews>
  <sheetFormatPr defaultRowHeight="15" x14ac:dyDescent="0.25"/>
  <cols>
    <col min="1" max="1" width="14.28515625" style="25" customWidth="1"/>
    <col min="2" max="2" width="16.28515625" style="25" customWidth="1"/>
    <col min="3" max="3" width="13" style="30" customWidth="1"/>
    <col min="4" max="4" width="9.85546875" style="31" customWidth="1"/>
    <col min="5" max="5" width="13.140625" style="25" customWidth="1"/>
    <col min="6" max="6" width="13.140625" customWidth="1"/>
    <col min="7" max="7" width="8.7109375" customWidth="1"/>
    <col min="8" max="8" width="9.42578125" customWidth="1"/>
    <col min="9" max="9" width="13.85546875" customWidth="1"/>
    <col min="10" max="10" width="14.28515625" customWidth="1"/>
    <col min="11" max="15" width="11.7109375" customWidth="1"/>
    <col min="16" max="23" width="12.7109375" customWidth="1"/>
    <col min="24" max="27" width="12.5703125" customWidth="1"/>
  </cols>
  <sheetData>
    <row r="1" spans="1:27" s="3" customFormat="1" ht="15.75" customHeight="1" thickBot="1" x14ac:dyDescent="0.3">
      <c r="A1" s="22" t="s">
        <v>0</v>
      </c>
      <c r="B1" s="22" t="s">
        <v>1</v>
      </c>
      <c r="C1" s="4" t="s">
        <v>2</v>
      </c>
      <c r="D1" s="28" t="s">
        <v>3</v>
      </c>
      <c r="E1" s="22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6" t="s">
        <v>23</v>
      </c>
      <c r="Y1" s="6" t="s">
        <v>24</v>
      </c>
      <c r="Z1" s="6" t="s">
        <v>25</v>
      </c>
      <c r="AA1" s="6" t="s">
        <v>26</v>
      </c>
    </row>
    <row r="2" spans="1:27" x14ac:dyDescent="0.25">
      <c r="A2" s="23" t="s">
        <v>27</v>
      </c>
      <c r="B2" s="26" t="s">
        <v>28</v>
      </c>
      <c r="C2" s="16">
        <f t="shared" ref="C2:C33" si="0">ROUND(AVERAGE(F2:AB2), 0)</f>
        <v>1500</v>
      </c>
      <c r="D2" s="29">
        <f t="shared" ref="D2:D33" si="1">SUM(F2:AB2)</f>
        <v>1500</v>
      </c>
      <c r="E2" s="23">
        <v>29555</v>
      </c>
      <c r="F2" s="17"/>
      <c r="G2" s="17"/>
      <c r="H2" s="17"/>
      <c r="I2" s="17">
        <v>1500</v>
      </c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8"/>
      <c r="Y2" s="18"/>
      <c r="Z2" s="18"/>
      <c r="AA2" s="18"/>
    </row>
    <row r="3" spans="1:27" x14ac:dyDescent="0.25">
      <c r="A3" s="24" t="s">
        <v>29</v>
      </c>
      <c r="B3" s="27" t="s">
        <v>28</v>
      </c>
      <c r="C3" s="19">
        <f t="shared" si="0"/>
        <v>4150</v>
      </c>
      <c r="D3" s="1">
        <f t="shared" si="1"/>
        <v>4150</v>
      </c>
      <c r="E3" s="24">
        <v>4150</v>
      </c>
      <c r="F3" s="20"/>
      <c r="G3" s="20"/>
      <c r="H3" s="20"/>
      <c r="I3" s="20">
        <v>4150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</row>
    <row r="4" spans="1:27" x14ac:dyDescent="0.25">
      <c r="A4" s="24" t="s">
        <v>30</v>
      </c>
      <c r="B4" s="27" t="s">
        <v>31</v>
      </c>
      <c r="C4" s="19">
        <f t="shared" si="0"/>
        <v>4133</v>
      </c>
      <c r="D4" s="1">
        <f t="shared" si="1"/>
        <v>12400</v>
      </c>
      <c r="E4" s="24">
        <v>12450</v>
      </c>
      <c r="F4" s="20"/>
      <c r="G4" s="20">
        <v>4000</v>
      </c>
      <c r="H4" s="20">
        <v>3400</v>
      </c>
      <c r="I4" s="20">
        <v>5000</v>
      </c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</row>
    <row r="5" spans="1:27" x14ac:dyDescent="0.25">
      <c r="A5" s="24" t="s">
        <v>32</v>
      </c>
      <c r="B5" s="27" t="s">
        <v>28</v>
      </c>
      <c r="C5" s="19">
        <f t="shared" si="0"/>
        <v>300</v>
      </c>
      <c r="D5" s="1">
        <f t="shared" si="1"/>
        <v>300</v>
      </c>
      <c r="E5" s="24">
        <v>56020</v>
      </c>
      <c r="F5" s="20"/>
      <c r="G5" s="20"/>
      <c r="H5" s="20"/>
      <c r="I5" s="20">
        <v>300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</row>
    <row r="6" spans="1:27" x14ac:dyDescent="0.25">
      <c r="A6" s="24" t="s">
        <v>33</v>
      </c>
      <c r="B6" s="27" t="s">
        <v>28</v>
      </c>
      <c r="C6" s="19">
        <f t="shared" si="0"/>
        <v>2000</v>
      </c>
      <c r="D6" s="1">
        <f t="shared" si="1"/>
        <v>2000</v>
      </c>
      <c r="E6" s="24">
        <v>20225</v>
      </c>
      <c r="F6" s="20"/>
      <c r="G6" s="20"/>
      <c r="H6" s="20"/>
      <c r="I6" s="20">
        <v>2000</v>
      </c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</row>
    <row r="7" spans="1:27" x14ac:dyDescent="0.25">
      <c r="A7" s="24" t="s">
        <v>34</v>
      </c>
      <c r="B7" s="27" t="s">
        <v>28</v>
      </c>
      <c r="C7" s="19">
        <f t="shared" si="0"/>
        <v>2500</v>
      </c>
      <c r="D7" s="1">
        <f t="shared" si="1"/>
        <v>2500</v>
      </c>
      <c r="E7" s="24">
        <v>11310</v>
      </c>
      <c r="F7" s="20"/>
      <c r="G7" s="20"/>
      <c r="H7" s="20"/>
      <c r="I7" s="20">
        <v>2500</v>
      </c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</row>
    <row r="8" spans="1:27" x14ac:dyDescent="0.25">
      <c r="A8" s="24" t="s">
        <v>35</v>
      </c>
      <c r="B8" s="27" t="s">
        <v>31</v>
      </c>
      <c r="C8" s="19">
        <f t="shared" si="0"/>
        <v>1000</v>
      </c>
      <c r="D8" s="1">
        <f t="shared" si="1"/>
        <v>2000</v>
      </c>
      <c r="E8" s="24">
        <v>15150</v>
      </c>
      <c r="F8" s="20"/>
      <c r="G8" s="20"/>
      <c r="H8" s="20">
        <v>500</v>
      </c>
      <c r="I8" s="20">
        <v>1500</v>
      </c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</row>
    <row r="9" spans="1:27" x14ac:dyDescent="0.25">
      <c r="A9" s="24" t="s">
        <v>36</v>
      </c>
      <c r="B9" s="27" t="s">
        <v>31</v>
      </c>
      <c r="C9" s="19">
        <f t="shared" si="0"/>
        <v>4125</v>
      </c>
      <c r="D9" s="1">
        <f t="shared" si="1"/>
        <v>16500</v>
      </c>
      <c r="E9" s="24">
        <v>27500</v>
      </c>
      <c r="F9" s="20">
        <v>4000</v>
      </c>
      <c r="G9" s="20">
        <v>4000</v>
      </c>
      <c r="H9" s="20">
        <v>4100</v>
      </c>
      <c r="I9" s="20">
        <v>4400</v>
      </c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</row>
    <row r="10" spans="1:27" x14ac:dyDescent="0.25">
      <c r="A10" s="24" t="s">
        <v>37</v>
      </c>
      <c r="B10" s="27" t="s">
        <v>31</v>
      </c>
      <c r="C10" s="19">
        <f t="shared" si="0"/>
        <v>0</v>
      </c>
      <c r="D10" s="1">
        <f t="shared" si="1"/>
        <v>0</v>
      </c>
      <c r="E10" s="24">
        <v>12250</v>
      </c>
      <c r="F10" s="20"/>
      <c r="G10" s="20">
        <v>0</v>
      </c>
      <c r="H10" s="20">
        <v>0</v>
      </c>
      <c r="I10" s="20">
        <v>0</v>
      </c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</row>
    <row r="11" spans="1:27" x14ac:dyDescent="0.25">
      <c r="A11" s="24" t="s">
        <v>38</v>
      </c>
      <c r="B11" s="27" t="s">
        <v>31</v>
      </c>
      <c r="C11" s="19">
        <f t="shared" si="0"/>
        <v>2600</v>
      </c>
      <c r="D11" s="1">
        <f t="shared" si="1"/>
        <v>5200</v>
      </c>
      <c r="E11" s="24">
        <v>40850</v>
      </c>
      <c r="F11" s="20"/>
      <c r="G11" s="20"/>
      <c r="H11" s="20">
        <v>1200</v>
      </c>
      <c r="I11" s="20">
        <v>4000</v>
      </c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</row>
    <row r="12" spans="1:27" x14ac:dyDescent="0.25">
      <c r="A12" s="24" t="s">
        <v>39</v>
      </c>
      <c r="B12" s="27" t="s">
        <v>31</v>
      </c>
      <c r="C12" s="19">
        <f t="shared" si="0"/>
        <v>1750</v>
      </c>
      <c r="D12" s="1">
        <f t="shared" si="1"/>
        <v>3500</v>
      </c>
      <c r="E12" s="24">
        <v>25300</v>
      </c>
      <c r="F12" s="20"/>
      <c r="G12" s="20"/>
      <c r="H12" s="20">
        <v>0</v>
      </c>
      <c r="I12" s="20">
        <v>3500</v>
      </c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</row>
    <row r="13" spans="1:27" x14ac:dyDescent="0.25">
      <c r="A13" s="24" t="s">
        <v>40</v>
      </c>
      <c r="B13" s="27" t="s">
        <v>31</v>
      </c>
      <c r="C13" s="19">
        <f t="shared" si="0"/>
        <v>2650</v>
      </c>
      <c r="D13" s="1">
        <f t="shared" si="1"/>
        <v>5300</v>
      </c>
      <c r="E13" s="24">
        <v>70250</v>
      </c>
      <c r="F13" s="20"/>
      <c r="G13" s="20"/>
      <c r="H13" s="20">
        <v>1300</v>
      </c>
      <c r="I13" s="20">
        <v>4000</v>
      </c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</row>
    <row r="14" spans="1:27" x14ac:dyDescent="0.25">
      <c r="A14" s="24" t="s">
        <v>41</v>
      </c>
      <c r="B14" s="27" t="s">
        <v>42</v>
      </c>
      <c r="C14" s="19">
        <f t="shared" si="0"/>
        <v>1000</v>
      </c>
      <c r="D14" s="1">
        <f t="shared" si="1"/>
        <v>1000</v>
      </c>
      <c r="E14" s="24">
        <v>3100</v>
      </c>
      <c r="F14" s="20"/>
      <c r="G14" s="20"/>
      <c r="H14" s="20"/>
      <c r="I14" s="20">
        <v>1000</v>
      </c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</row>
    <row r="15" spans="1:27" x14ac:dyDescent="0.25">
      <c r="A15" s="24" t="s">
        <v>43</v>
      </c>
      <c r="B15" s="27" t="s">
        <v>31</v>
      </c>
      <c r="C15" s="19">
        <f t="shared" si="0"/>
        <v>5113</v>
      </c>
      <c r="D15" s="1">
        <f t="shared" si="1"/>
        <v>20450</v>
      </c>
      <c r="E15" s="24">
        <v>29650</v>
      </c>
      <c r="F15" s="20">
        <v>4000</v>
      </c>
      <c r="G15" s="20">
        <v>4000</v>
      </c>
      <c r="H15" s="20">
        <v>10000</v>
      </c>
      <c r="I15" s="20">
        <v>2450</v>
      </c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</row>
    <row r="16" spans="1:27" x14ac:dyDescent="0.25">
      <c r="A16" s="24" t="s">
        <v>44</v>
      </c>
      <c r="B16" s="27" t="s">
        <v>42</v>
      </c>
      <c r="C16" s="19">
        <f t="shared" si="0"/>
        <v>0</v>
      </c>
      <c r="D16" s="1">
        <f t="shared" si="1"/>
        <v>0</v>
      </c>
      <c r="E16" s="24">
        <v>0</v>
      </c>
      <c r="F16" s="20"/>
      <c r="G16" s="20"/>
      <c r="H16" s="20"/>
      <c r="I16" s="20">
        <v>0</v>
      </c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</row>
    <row r="17" spans="1:23" x14ac:dyDescent="0.25">
      <c r="A17" s="24" t="s">
        <v>45</v>
      </c>
      <c r="B17" s="27" t="s">
        <v>28</v>
      </c>
      <c r="C17" s="19">
        <f t="shared" si="0"/>
        <v>0</v>
      </c>
      <c r="D17" s="1">
        <f t="shared" si="1"/>
        <v>0</v>
      </c>
      <c r="E17" s="24">
        <v>0</v>
      </c>
      <c r="F17" s="20"/>
      <c r="G17" s="20"/>
      <c r="H17" s="20"/>
      <c r="I17" s="20">
        <v>0</v>
      </c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</row>
    <row r="18" spans="1:23" x14ac:dyDescent="0.25">
      <c r="A18" s="24" t="s">
        <v>46</v>
      </c>
      <c r="B18" s="27" t="s">
        <v>31</v>
      </c>
      <c r="C18" s="19">
        <f t="shared" si="0"/>
        <v>4783</v>
      </c>
      <c r="D18" s="1">
        <f t="shared" si="1"/>
        <v>14350</v>
      </c>
      <c r="E18" s="24">
        <v>16050</v>
      </c>
      <c r="F18" s="20"/>
      <c r="G18" s="20">
        <v>0</v>
      </c>
      <c r="H18" s="20">
        <v>6050</v>
      </c>
      <c r="I18" s="20">
        <v>8300</v>
      </c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</row>
    <row r="19" spans="1:23" x14ac:dyDescent="0.25">
      <c r="A19" s="24" t="s">
        <v>47</v>
      </c>
      <c r="B19" s="27" t="s">
        <v>48</v>
      </c>
      <c r="C19" s="19">
        <f t="shared" si="0"/>
        <v>500</v>
      </c>
      <c r="D19" s="1">
        <f t="shared" si="1"/>
        <v>1000</v>
      </c>
      <c r="E19" s="24">
        <v>21950</v>
      </c>
      <c r="F19" s="20"/>
      <c r="G19" s="20"/>
      <c r="H19" s="20">
        <v>0</v>
      </c>
      <c r="I19" s="20">
        <v>1000</v>
      </c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</row>
    <row r="20" spans="1:23" x14ac:dyDescent="0.25">
      <c r="A20" s="24" t="s">
        <v>49</v>
      </c>
      <c r="B20" s="27" t="s">
        <v>50</v>
      </c>
      <c r="C20" s="19">
        <f t="shared" si="0"/>
        <v>4075</v>
      </c>
      <c r="D20" s="1">
        <f t="shared" si="1"/>
        <v>8150</v>
      </c>
      <c r="E20" s="24">
        <v>119800</v>
      </c>
      <c r="F20" s="20"/>
      <c r="G20" s="20"/>
      <c r="H20" s="20">
        <v>4050</v>
      </c>
      <c r="I20" s="20">
        <v>4100</v>
      </c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</row>
    <row r="21" spans="1:23" x14ac:dyDescent="0.25">
      <c r="A21" s="24" t="s">
        <v>51</v>
      </c>
      <c r="B21" s="27" t="s">
        <v>28</v>
      </c>
      <c r="C21" s="19">
        <f t="shared" si="0"/>
        <v>6350</v>
      </c>
      <c r="D21" s="1">
        <f t="shared" si="1"/>
        <v>6350</v>
      </c>
      <c r="E21" s="24">
        <v>61020</v>
      </c>
      <c r="F21" s="20"/>
      <c r="G21" s="20"/>
      <c r="H21" s="20"/>
      <c r="I21" s="20">
        <v>6350</v>
      </c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</row>
    <row r="22" spans="1:23" x14ac:dyDescent="0.25">
      <c r="A22" s="24" t="s">
        <v>52</v>
      </c>
      <c r="B22" s="27" t="s">
        <v>31</v>
      </c>
      <c r="C22" s="19">
        <f t="shared" si="0"/>
        <v>7000</v>
      </c>
      <c r="D22" s="1">
        <f t="shared" si="1"/>
        <v>28000</v>
      </c>
      <c r="E22" s="24">
        <v>36600</v>
      </c>
      <c r="F22" s="20">
        <v>4000</v>
      </c>
      <c r="G22" s="20">
        <v>4000</v>
      </c>
      <c r="H22" s="20">
        <v>10000</v>
      </c>
      <c r="I22" s="20">
        <v>10000</v>
      </c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</row>
    <row r="23" spans="1:23" x14ac:dyDescent="0.25">
      <c r="A23" s="24" t="s">
        <v>53</v>
      </c>
      <c r="B23" s="27" t="s">
        <v>31</v>
      </c>
      <c r="C23" s="19">
        <f t="shared" si="0"/>
        <v>6333</v>
      </c>
      <c r="D23" s="1">
        <f t="shared" si="1"/>
        <v>19000</v>
      </c>
      <c r="E23" s="24">
        <v>28500</v>
      </c>
      <c r="F23" s="20"/>
      <c r="G23" s="20">
        <v>4000</v>
      </c>
      <c r="H23" s="20">
        <v>10000</v>
      </c>
      <c r="I23" s="20">
        <v>5000</v>
      </c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</row>
    <row r="24" spans="1:23" x14ac:dyDescent="0.25">
      <c r="A24" s="24" t="s">
        <v>54</v>
      </c>
      <c r="B24" s="27" t="s">
        <v>55</v>
      </c>
      <c r="C24" s="19">
        <f t="shared" si="0"/>
        <v>0</v>
      </c>
      <c r="D24" s="1">
        <f t="shared" si="1"/>
        <v>0</v>
      </c>
      <c r="E24" s="24">
        <v>11065</v>
      </c>
      <c r="F24" s="20"/>
      <c r="G24" s="20"/>
      <c r="H24" s="20"/>
      <c r="I24" s="20">
        <v>0</v>
      </c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</row>
    <row r="25" spans="1:23" x14ac:dyDescent="0.25">
      <c r="A25" s="24" t="s">
        <v>56</v>
      </c>
      <c r="B25" s="27" t="s">
        <v>57</v>
      </c>
      <c r="C25" s="19">
        <f t="shared" si="0"/>
        <v>0</v>
      </c>
      <c r="D25" s="1">
        <f t="shared" si="1"/>
        <v>0</v>
      </c>
      <c r="E25" s="24">
        <v>74050</v>
      </c>
      <c r="F25" s="20"/>
      <c r="G25" s="20"/>
      <c r="H25" s="20"/>
      <c r="I25" s="20">
        <v>0</v>
      </c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</row>
    <row r="26" spans="1:23" x14ac:dyDescent="0.25">
      <c r="A26" s="24" t="s">
        <v>58</v>
      </c>
      <c r="B26" s="27" t="s">
        <v>31</v>
      </c>
      <c r="C26" s="19">
        <f t="shared" si="0"/>
        <v>8000</v>
      </c>
      <c r="D26" s="1">
        <f t="shared" si="1"/>
        <v>24000</v>
      </c>
      <c r="E26" s="24">
        <v>45200</v>
      </c>
      <c r="F26" s="20"/>
      <c r="G26" s="20">
        <v>4000</v>
      </c>
      <c r="H26" s="20">
        <v>10000</v>
      </c>
      <c r="I26" s="20">
        <v>10000</v>
      </c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</row>
    <row r="27" spans="1:23" x14ac:dyDescent="0.25">
      <c r="A27" s="24" t="s">
        <v>59</v>
      </c>
      <c r="B27" s="27" t="s">
        <v>57</v>
      </c>
      <c r="C27" s="19">
        <f t="shared" si="0"/>
        <v>6250</v>
      </c>
      <c r="D27" s="1">
        <f t="shared" si="1"/>
        <v>6250</v>
      </c>
      <c r="E27" s="24">
        <v>62125</v>
      </c>
      <c r="F27" s="20"/>
      <c r="G27" s="20"/>
      <c r="H27" s="20"/>
      <c r="I27" s="20">
        <v>6250</v>
      </c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</row>
    <row r="28" spans="1:23" x14ac:dyDescent="0.25">
      <c r="A28" s="24" t="s">
        <v>60</v>
      </c>
      <c r="B28" s="27" t="s">
        <v>31</v>
      </c>
      <c r="C28" s="19">
        <f t="shared" si="0"/>
        <v>10000</v>
      </c>
      <c r="D28" s="1">
        <f t="shared" si="1"/>
        <v>20000</v>
      </c>
      <c r="E28" s="24">
        <v>45300</v>
      </c>
      <c r="F28" s="20"/>
      <c r="G28" s="20"/>
      <c r="H28" s="20">
        <v>10000</v>
      </c>
      <c r="I28" s="20">
        <v>10000</v>
      </c>
      <c r="J28" s="20"/>
      <c r="K28" s="20"/>
      <c r="L28" s="21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</row>
    <row r="29" spans="1:23" x14ac:dyDescent="0.25">
      <c r="A29" s="24" t="s">
        <v>61</v>
      </c>
      <c r="B29" s="27" t="s">
        <v>31</v>
      </c>
      <c r="C29" s="19">
        <f t="shared" si="0"/>
        <v>538</v>
      </c>
      <c r="D29" s="1">
        <f t="shared" si="1"/>
        <v>2150</v>
      </c>
      <c r="E29" s="24">
        <v>6175</v>
      </c>
      <c r="F29" s="20">
        <v>1000</v>
      </c>
      <c r="G29" s="20">
        <v>0</v>
      </c>
      <c r="H29" s="20">
        <v>0</v>
      </c>
      <c r="I29" s="20">
        <v>1150</v>
      </c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</row>
    <row r="30" spans="1:23" x14ac:dyDescent="0.25">
      <c r="A30" s="24" t="s">
        <v>62</v>
      </c>
      <c r="B30" s="27" t="s">
        <v>31</v>
      </c>
      <c r="C30" s="19">
        <f t="shared" si="0"/>
        <v>3988</v>
      </c>
      <c r="D30" s="1">
        <f t="shared" si="1"/>
        <v>15950</v>
      </c>
      <c r="E30" s="24">
        <v>28700</v>
      </c>
      <c r="F30" s="20">
        <v>4000</v>
      </c>
      <c r="G30" s="20">
        <v>2100</v>
      </c>
      <c r="H30" s="20">
        <v>5800</v>
      </c>
      <c r="I30" s="20">
        <v>4050</v>
      </c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</row>
    <row r="31" spans="1:23" x14ac:dyDescent="0.25">
      <c r="A31" s="24" t="s">
        <v>63</v>
      </c>
      <c r="B31" s="27" t="s">
        <v>31</v>
      </c>
      <c r="C31" s="19">
        <f t="shared" si="0"/>
        <v>10000</v>
      </c>
      <c r="D31" s="1">
        <f t="shared" si="1"/>
        <v>20000</v>
      </c>
      <c r="E31" s="24">
        <v>48650</v>
      </c>
      <c r="F31" s="20"/>
      <c r="G31" s="20"/>
      <c r="H31" s="20">
        <v>10000</v>
      </c>
      <c r="I31" s="20">
        <v>10000</v>
      </c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</row>
    <row r="32" spans="1:23" x14ac:dyDescent="0.25">
      <c r="A32" s="24" t="s">
        <v>64</v>
      </c>
      <c r="B32" s="27" t="s">
        <v>31</v>
      </c>
      <c r="C32" s="19">
        <f t="shared" si="0"/>
        <v>10000</v>
      </c>
      <c r="D32" s="1">
        <f t="shared" si="1"/>
        <v>20000</v>
      </c>
      <c r="E32" s="24">
        <v>40900</v>
      </c>
      <c r="F32" s="20"/>
      <c r="G32" s="20"/>
      <c r="H32" s="20">
        <v>10000</v>
      </c>
      <c r="I32" s="20">
        <v>10000</v>
      </c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</row>
    <row r="33" spans="1:23" x14ac:dyDescent="0.25">
      <c r="A33" s="24" t="s">
        <v>65</v>
      </c>
      <c r="B33" s="27" t="s">
        <v>28</v>
      </c>
      <c r="C33" s="19">
        <f t="shared" si="0"/>
        <v>10000</v>
      </c>
      <c r="D33" s="1">
        <f t="shared" si="1"/>
        <v>10000</v>
      </c>
      <c r="E33" s="24">
        <v>96625</v>
      </c>
      <c r="F33" s="20"/>
      <c r="G33" s="20"/>
      <c r="H33" s="20"/>
      <c r="I33" s="20">
        <v>10000</v>
      </c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</row>
    <row r="34" spans="1:23" x14ac:dyDescent="0.25">
      <c r="A34" s="24" t="s">
        <v>66</v>
      </c>
      <c r="B34" s="27" t="s">
        <v>28</v>
      </c>
      <c r="C34" s="19">
        <f t="shared" ref="C34:C50" si="2">ROUND(AVERAGE(F34:AB34), 0)</f>
        <v>4300</v>
      </c>
      <c r="D34" s="1">
        <f t="shared" ref="D34:D50" si="3">SUM(F34:AB34)</f>
        <v>4300</v>
      </c>
      <c r="E34" s="24">
        <v>40450</v>
      </c>
      <c r="F34" s="20"/>
      <c r="G34" s="20"/>
      <c r="H34" s="20"/>
      <c r="I34" s="20">
        <v>4300</v>
      </c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</row>
    <row r="35" spans="1:23" x14ac:dyDescent="0.25">
      <c r="A35" s="24" t="s">
        <v>67</v>
      </c>
      <c r="B35" s="27" t="s">
        <v>68</v>
      </c>
      <c r="C35" s="19">
        <f t="shared" si="2"/>
        <v>0</v>
      </c>
      <c r="D35" s="1">
        <f t="shared" si="3"/>
        <v>0</v>
      </c>
      <c r="E35" s="24">
        <v>450</v>
      </c>
      <c r="F35" s="20"/>
      <c r="G35" s="20"/>
      <c r="H35" s="20"/>
      <c r="I35" s="20">
        <v>0</v>
      </c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</row>
    <row r="36" spans="1:23" x14ac:dyDescent="0.25">
      <c r="A36" s="24" t="s">
        <v>69</v>
      </c>
      <c r="B36" s="27" t="s">
        <v>31</v>
      </c>
      <c r="C36" s="19">
        <f t="shared" si="2"/>
        <v>4413</v>
      </c>
      <c r="D36" s="1">
        <f t="shared" si="3"/>
        <v>17650</v>
      </c>
      <c r="E36" s="24">
        <v>38600</v>
      </c>
      <c r="F36" s="20">
        <v>4000</v>
      </c>
      <c r="G36" s="20">
        <v>4000</v>
      </c>
      <c r="H36" s="20">
        <v>4050</v>
      </c>
      <c r="I36" s="20">
        <v>5600</v>
      </c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</row>
    <row r="37" spans="1:23" x14ac:dyDescent="0.25">
      <c r="A37" s="24" t="s">
        <v>70</v>
      </c>
      <c r="B37" s="27" t="s">
        <v>31</v>
      </c>
      <c r="C37" s="19">
        <f t="shared" si="2"/>
        <v>3883</v>
      </c>
      <c r="D37" s="1">
        <f t="shared" si="3"/>
        <v>11650</v>
      </c>
      <c r="E37" s="24">
        <v>17930</v>
      </c>
      <c r="F37" s="20"/>
      <c r="G37" s="20">
        <v>4000</v>
      </c>
      <c r="H37" s="20">
        <v>5150</v>
      </c>
      <c r="I37" s="20">
        <v>2500</v>
      </c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</row>
    <row r="38" spans="1:23" x14ac:dyDescent="0.25">
      <c r="A38" s="24" t="s">
        <v>71</v>
      </c>
      <c r="B38" s="27" t="s">
        <v>31</v>
      </c>
      <c r="C38" s="19">
        <f t="shared" si="2"/>
        <v>6288</v>
      </c>
      <c r="D38" s="1">
        <f t="shared" si="3"/>
        <v>25150</v>
      </c>
      <c r="E38" s="24">
        <v>45550</v>
      </c>
      <c r="F38" s="20">
        <v>4000</v>
      </c>
      <c r="G38" s="20">
        <v>4000</v>
      </c>
      <c r="H38" s="20">
        <v>10000</v>
      </c>
      <c r="I38" s="20">
        <v>7150</v>
      </c>
      <c r="J38" s="20"/>
      <c r="K38" s="20"/>
      <c r="L38" s="20"/>
      <c r="M38" s="20"/>
      <c r="N38" s="20"/>
      <c r="O38" s="20"/>
      <c r="P38" s="21"/>
      <c r="Q38" s="20"/>
      <c r="R38" s="20"/>
      <c r="S38" s="20"/>
      <c r="T38" s="20"/>
      <c r="U38" s="20"/>
      <c r="V38" s="20"/>
      <c r="W38" s="20"/>
    </row>
    <row r="39" spans="1:23" x14ac:dyDescent="0.25">
      <c r="A39" s="24" t="s">
        <v>72</v>
      </c>
      <c r="B39" s="27" t="s">
        <v>31</v>
      </c>
      <c r="C39" s="19">
        <f t="shared" si="2"/>
        <v>6167</v>
      </c>
      <c r="D39" s="1">
        <f t="shared" si="3"/>
        <v>18500</v>
      </c>
      <c r="E39" s="24">
        <v>23200</v>
      </c>
      <c r="F39" s="20"/>
      <c r="G39" s="20">
        <v>4000</v>
      </c>
      <c r="H39" s="20">
        <v>10000</v>
      </c>
      <c r="I39" s="20">
        <v>4500</v>
      </c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</row>
    <row r="40" spans="1:23" x14ac:dyDescent="0.25">
      <c r="A40" s="24" t="s">
        <v>73</v>
      </c>
      <c r="B40" s="27" t="s">
        <v>31</v>
      </c>
      <c r="C40" s="19">
        <f t="shared" si="2"/>
        <v>4225</v>
      </c>
      <c r="D40" s="1">
        <f t="shared" si="3"/>
        <v>16900</v>
      </c>
      <c r="E40" s="24">
        <v>29025</v>
      </c>
      <c r="F40" s="20">
        <v>4000</v>
      </c>
      <c r="G40" s="20">
        <v>4000</v>
      </c>
      <c r="H40" s="20">
        <v>4050</v>
      </c>
      <c r="I40" s="20">
        <v>4850</v>
      </c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</row>
    <row r="41" spans="1:23" x14ac:dyDescent="0.25">
      <c r="A41" s="24" t="s">
        <v>74</v>
      </c>
      <c r="B41" s="27" t="s">
        <v>31</v>
      </c>
      <c r="C41" s="19">
        <f t="shared" si="2"/>
        <v>5625</v>
      </c>
      <c r="D41" s="1">
        <f t="shared" si="3"/>
        <v>11250</v>
      </c>
      <c r="E41" s="24">
        <v>28675</v>
      </c>
      <c r="F41" s="20"/>
      <c r="G41" s="20"/>
      <c r="H41" s="20">
        <v>3650</v>
      </c>
      <c r="I41" s="20">
        <v>7600</v>
      </c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</row>
    <row r="42" spans="1:23" x14ac:dyDescent="0.25">
      <c r="A42" s="24" t="s">
        <v>75</v>
      </c>
      <c r="B42" s="27" t="s">
        <v>28</v>
      </c>
      <c r="C42" s="19">
        <f t="shared" si="2"/>
        <v>4150</v>
      </c>
      <c r="D42" s="1">
        <f t="shared" si="3"/>
        <v>4150</v>
      </c>
      <c r="E42" s="24">
        <v>13350</v>
      </c>
      <c r="F42" s="20"/>
      <c r="G42" s="20"/>
      <c r="H42" s="20"/>
      <c r="I42" s="20">
        <v>4150</v>
      </c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</row>
    <row r="43" spans="1:23" x14ac:dyDescent="0.25">
      <c r="A43" s="24" t="s">
        <v>76</v>
      </c>
      <c r="B43" s="27" t="s">
        <v>31</v>
      </c>
      <c r="C43" s="19">
        <f t="shared" si="2"/>
        <v>4563</v>
      </c>
      <c r="D43" s="1">
        <f t="shared" si="3"/>
        <v>18250</v>
      </c>
      <c r="E43" s="24">
        <v>29450</v>
      </c>
      <c r="F43" s="20">
        <v>4000</v>
      </c>
      <c r="G43" s="20">
        <v>4000</v>
      </c>
      <c r="H43" s="20">
        <v>5750</v>
      </c>
      <c r="I43" s="20">
        <v>4500</v>
      </c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</row>
    <row r="44" spans="1:23" x14ac:dyDescent="0.25">
      <c r="A44" s="24" t="s">
        <v>77</v>
      </c>
      <c r="B44" s="27" t="s">
        <v>55</v>
      </c>
      <c r="C44" s="19">
        <f t="shared" si="2"/>
        <v>300</v>
      </c>
      <c r="D44" s="1">
        <f t="shared" si="3"/>
        <v>300</v>
      </c>
      <c r="E44" s="24">
        <v>27805</v>
      </c>
      <c r="F44" s="20"/>
      <c r="G44" s="20"/>
      <c r="H44" s="20"/>
      <c r="I44" s="20">
        <v>300</v>
      </c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</row>
    <row r="45" spans="1:23" x14ac:dyDescent="0.25">
      <c r="A45" s="24" t="s">
        <v>78</v>
      </c>
      <c r="B45" s="27" t="s">
        <v>31</v>
      </c>
      <c r="C45" s="19">
        <f t="shared" si="2"/>
        <v>2725</v>
      </c>
      <c r="D45" s="1">
        <f t="shared" si="3"/>
        <v>5450</v>
      </c>
      <c r="E45" s="24">
        <v>30350</v>
      </c>
      <c r="F45" s="20"/>
      <c r="G45" s="20"/>
      <c r="H45" s="20">
        <v>150</v>
      </c>
      <c r="I45" s="20">
        <v>5300</v>
      </c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</row>
    <row r="46" spans="1:23" x14ac:dyDescent="0.25">
      <c r="A46" s="24" t="s">
        <v>79</v>
      </c>
      <c r="B46" s="27" t="s">
        <v>31</v>
      </c>
      <c r="C46" s="19">
        <f t="shared" si="2"/>
        <v>6925</v>
      </c>
      <c r="D46" s="1">
        <f t="shared" si="3"/>
        <v>13850</v>
      </c>
      <c r="E46" s="24">
        <v>109220</v>
      </c>
      <c r="F46" s="20"/>
      <c r="G46" s="20"/>
      <c r="H46" s="20">
        <v>3850</v>
      </c>
      <c r="I46" s="20">
        <v>10000</v>
      </c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</row>
    <row r="47" spans="1:23" x14ac:dyDescent="0.25">
      <c r="A47" s="24" t="s">
        <v>80</v>
      </c>
      <c r="B47" s="27" t="s">
        <v>28</v>
      </c>
      <c r="C47" s="19">
        <f t="shared" si="2"/>
        <v>10000</v>
      </c>
      <c r="D47" s="1">
        <f t="shared" si="3"/>
        <v>10000</v>
      </c>
      <c r="E47" s="24">
        <v>58950</v>
      </c>
      <c r="F47" s="20"/>
      <c r="G47" s="20"/>
      <c r="H47" s="20"/>
      <c r="I47" s="20">
        <v>10000</v>
      </c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</row>
    <row r="48" spans="1:23" x14ac:dyDescent="0.25">
      <c r="A48" s="24" t="s">
        <v>81</v>
      </c>
      <c r="B48" s="27" t="s">
        <v>82</v>
      </c>
      <c r="C48" s="19">
        <f t="shared" si="2"/>
        <v>0</v>
      </c>
      <c r="D48" s="1">
        <f t="shared" si="3"/>
        <v>0</v>
      </c>
      <c r="E48" s="24">
        <v>21035</v>
      </c>
      <c r="F48" s="20"/>
      <c r="G48" s="20"/>
      <c r="H48" s="20"/>
      <c r="I48" s="20">
        <v>0</v>
      </c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</row>
    <row r="49" spans="1:23" x14ac:dyDescent="0.25">
      <c r="A49" s="24" t="s">
        <v>83</v>
      </c>
      <c r="B49" s="27" t="s">
        <v>82</v>
      </c>
      <c r="C49" s="19">
        <f t="shared" si="2"/>
        <v>0</v>
      </c>
      <c r="D49" s="1">
        <f t="shared" si="3"/>
        <v>0</v>
      </c>
      <c r="E49" s="24">
        <v>6525</v>
      </c>
      <c r="F49" s="20"/>
      <c r="G49" s="20"/>
      <c r="H49" s="20"/>
      <c r="I49" s="20">
        <v>0</v>
      </c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</row>
    <row r="50" spans="1:23" x14ac:dyDescent="0.25">
      <c r="A50" s="24" t="s">
        <v>84</v>
      </c>
      <c r="B50" s="27" t="s">
        <v>82</v>
      </c>
      <c r="C50" s="19">
        <f t="shared" si="2"/>
        <v>0</v>
      </c>
      <c r="D50" s="1">
        <f t="shared" si="3"/>
        <v>0</v>
      </c>
      <c r="E50" s="24">
        <v>4075</v>
      </c>
      <c r="F50" s="20"/>
      <c r="G50" s="20"/>
      <c r="H50" s="20"/>
      <c r="I50" s="20">
        <v>0</v>
      </c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</row>
    <row r="51" spans="1:23" ht="15.75" customHeight="1" thickBot="1" x14ac:dyDescent="0.3"/>
  </sheetData>
  <autoFilter ref="A1:AA1" xr:uid="{00000000-0009-0000-0000-000000000000}">
    <sortState xmlns:xlrd2="http://schemas.microsoft.com/office/spreadsheetml/2017/richdata2" ref="A2:AA51">
      <sortCondition ref="A1"/>
    </sortState>
  </autoFilter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0"/>
  <sheetViews>
    <sheetView tabSelected="1" topLeftCell="A24" workbookViewId="0">
      <pane xSplit="1" topLeftCell="B1" activePane="topRight" state="frozen"/>
      <selection pane="topRight" activeCell="M30" sqref="M30"/>
    </sheetView>
  </sheetViews>
  <sheetFormatPr defaultRowHeight="15" x14ac:dyDescent="0.25"/>
  <cols>
    <col min="1" max="1" width="16" style="13" customWidth="1"/>
    <col min="2" max="2" width="13.85546875" style="15" customWidth="1"/>
    <col min="3" max="3" width="10.7109375" style="13" customWidth="1"/>
    <col min="4" max="4" width="11.7109375" style="14" customWidth="1"/>
    <col min="5" max="5" width="11.7109375" style="9" customWidth="1"/>
    <col min="6" max="6" width="10.140625" style="9" customWidth="1"/>
    <col min="7" max="7" width="10.85546875" style="9" customWidth="1"/>
    <col min="8" max="11" width="11.5703125" style="9" customWidth="1"/>
    <col min="12" max="34" width="12.5703125" style="9" customWidth="1"/>
    <col min="35" max="52" width="9.140625" style="9" customWidth="1"/>
    <col min="53" max="16384" width="9.140625" style="9"/>
  </cols>
  <sheetData>
    <row r="1" spans="1:34" s="8" customFormat="1" ht="15.75" customHeight="1" x14ac:dyDescent="0.25">
      <c r="A1" s="12" t="s">
        <v>0</v>
      </c>
      <c r="B1" s="12" t="s">
        <v>1</v>
      </c>
      <c r="C1" s="12" t="s">
        <v>2</v>
      </c>
      <c r="D1" s="11" t="s">
        <v>85</v>
      </c>
      <c r="E1" s="7" t="s">
        <v>86</v>
      </c>
      <c r="F1" s="7" t="s">
        <v>87</v>
      </c>
      <c r="G1" s="7" t="s">
        <v>88</v>
      </c>
      <c r="H1" s="7" t="s">
        <v>89</v>
      </c>
      <c r="I1" s="7" t="s">
        <v>48</v>
      </c>
      <c r="J1" s="7" t="s">
        <v>90</v>
      </c>
      <c r="K1" s="7" t="s">
        <v>91</v>
      </c>
      <c r="L1" s="7" t="s">
        <v>28</v>
      </c>
      <c r="M1" s="7" t="s">
        <v>92</v>
      </c>
      <c r="N1" s="7" t="s">
        <v>93</v>
      </c>
      <c r="O1" s="7" t="s">
        <v>18</v>
      </c>
      <c r="P1" s="7" t="s">
        <v>19</v>
      </c>
      <c r="Q1" s="7" t="s">
        <v>20</v>
      </c>
      <c r="R1" s="7" t="s">
        <v>21</v>
      </c>
      <c r="S1" s="7" t="s">
        <v>22</v>
      </c>
      <c r="T1" s="7" t="s">
        <v>23</v>
      </c>
      <c r="U1" s="7" t="s">
        <v>24</v>
      </c>
      <c r="V1" s="7" t="s">
        <v>25</v>
      </c>
      <c r="W1" s="7" t="s">
        <v>26</v>
      </c>
      <c r="X1" s="7" t="s">
        <v>94</v>
      </c>
      <c r="Y1" s="7" t="s">
        <v>95</v>
      </c>
      <c r="Z1" s="7" t="s">
        <v>96</v>
      </c>
      <c r="AA1" s="7" t="s">
        <v>97</v>
      </c>
      <c r="AB1" s="7" t="s">
        <v>98</v>
      </c>
      <c r="AC1" s="7" t="s">
        <v>99</v>
      </c>
      <c r="AD1" s="7" t="s">
        <v>100</v>
      </c>
      <c r="AE1" s="7" t="s">
        <v>101</v>
      </c>
      <c r="AF1" s="7" t="s">
        <v>102</v>
      </c>
      <c r="AG1" s="7" t="s">
        <v>103</v>
      </c>
      <c r="AH1" s="7" t="s">
        <v>104</v>
      </c>
    </row>
    <row r="2" spans="1:34" x14ac:dyDescent="0.25">
      <c r="A2" s="13" t="s">
        <v>30</v>
      </c>
      <c r="B2" s="15" t="s">
        <v>31</v>
      </c>
      <c r="C2" s="13">
        <f>ROUND(AVERAGE(D2:AH2), 0)</f>
        <v>6</v>
      </c>
      <c r="D2" s="14">
        <v>6</v>
      </c>
      <c r="E2" s="9">
        <v>6</v>
      </c>
      <c r="F2" s="9">
        <v>6</v>
      </c>
      <c r="G2" s="9">
        <v>6</v>
      </c>
      <c r="H2" s="9">
        <v>6</v>
      </c>
      <c r="I2" s="9">
        <v>6</v>
      </c>
      <c r="J2" s="10">
        <v>6</v>
      </c>
      <c r="K2" s="10">
        <v>6</v>
      </c>
      <c r="L2" s="10">
        <v>6</v>
      </c>
      <c r="M2" s="9">
        <v>6</v>
      </c>
      <c r="N2" s="20">
        <v>6</v>
      </c>
    </row>
    <row r="3" spans="1:34" x14ac:dyDescent="0.25">
      <c r="A3" s="13" t="s">
        <v>34</v>
      </c>
      <c r="B3" s="15" t="s">
        <v>28</v>
      </c>
      <c r="C3" s="13">
        <f>ROUND(AVERAGE(D3:AH3), 0)</f>
        <v>6</v>
      </c>
      <c r="L3" s="10">
        <v>5</v>
      </c>
      <c r="M3" s="9">
        <v>6</v>
      </c>
      <c r="N3" s="20">
        <v>6</v>
      </c>
    </row>
    <row r="4" spans="1:34" x14ac:dyDescent="0.25">
      <c r="A4" s="13" t="s">
        <v>36</v>
      </c>
      <c r="B4" s="15" t="s">
        <v>31</v>
      </c>
      <c r="C4" s="13">
        <f>ROUND(AVERAGE(D4:AH4), 0)</f>
        <v>5</v>
      </c>
      <c r="D4" s="14">
        <v>6</v>
      </c>
      <c r="E4" s="9">
        <v>6</v>
      </c>
      <c r="F4" s="9">
        <v>6</v>
      </c>
      <c r="G4" s="9">
        <v>6</v>
      </c>
      <c r="H4" s="9">
        <v>0</v>
      </c>
      <c r="I4" s="9">
        <v>6</v>
      </c>
      <c r="J4" s="10">
        <v>6</v>
      </c>
      <c r="K4" s="10">
        <v>6</v>
      </c>
      <c r="L4" s="10">
        <v>6</v>
      </c>
      <c r="M4" s="9">
        <v>6</v>
      </c>
      <c r="N4" s="20">
        <v>0</v>
      </c>
    </row>
    <row r="5" spans="1:34" x14ac:dyDescent="0.25">
      <c r="A5" s="13" t="s">
        <v>39</v>
      </c>
      <c r="B5" s="15" t="s">
        <v>31</v>
      </c>
      <c r="C5" s="13">
        <f>ROUND(AVERAGE(D5:AH5), 0)</f>
        <v>5</v>
      </c>
      <c r="G5" s="9">
        <v>0</v>
      </c>
      <c r="H5" s="9">
        <v>6</v>
      </c>
      <c r="I5" s="9">
        <v>6</v>
      </c>
      <c r="J5" s="10">
        <v>0</v>
      </c>
      <c r="K5" s="10">
        <v>6</v>
      </c>
      <c r="L5" s="10">
        <v>6</v>
      </c>
      <c r="M5" s="9">
        <v>6</v>
      </c>
      <c r="N5" s="20">
        <v>6</v>
      </c>
    </row>
    <row r="6" spans="1:34" x14ac:dyDescent="0.25">
      <c r="A6" s="13" t="s">
        <v>43</v>
      </c>
      <c r="B6" s="15" t="s">
        <v>31</v>
      </c>
      <c r="C6" s="13">
        <f>ROUND(AVERAGE(D6:AH6), 0)</f>
        <v>6</v>
      </c>
      <c r="D6" s="14">
        <v>6</v>
      </c>
      <c r="E6" s="9">
        <v>6</v>
      </c>
      <c r="F6" s="9">
        <v>6</v>
      </c>
      <c r="G6" s="9">
        <v>5</v>
      </c>
      <c r="H6" s="9">
        <v>6</v>
      </c>
      <c r="I6" s="9">
        <v>6</v>
      </c>
      <c r="J6" s="10">
        <v>6</v>
      </c>
      <c r="K6" s="10">
        <v>6</v>
      </c>
      <c r="L6" s="10">
        <v>6</v>
      </c>
      <c r="M6" s="9">
        <v>6</v>
      </c>
      <c r="N6" s="20">
        <v>6</v>
      </c>
    </row>
    <row r="7" spans="1:34" x14ac:dyDescent="0.25">
      <c r="A7" s="13" t="s">
        <v>46</v>
      </c>
      <c r="B7" s="15" t="s">
        <v>31</v>
      </c>
      <c r="C7" s="13">
        <f>ROUND(AVERAGE(D7:AH7), 0)</f>
        <v>6</v>
      </c>
      <c r="D7" s="14">
        <v>6</v>
      </c>
      <c r="E7" s="9">
        <v>6</v>
      </c>
      <c r="F7" s="9">
        <v>6</v>
      </c>
      <c r="G7" s="9">
        <v>6</v>
      </c>
      <c r="H7" s="9">
        <v>6</v>
      </c>
      <c r="I7" s="9">
        <v>6</v>
      </c>
      <c r="J7" s="10">
        <v>6</v>
      </c>
      <c r="K7" s="10">
        <v>6</v>
      </c>
      <c r="L7" s="10">
        <v>6</v>
      </c>
      <c r="M7" s="9">
        <v>6</v>
      </c>
      <c r="N7" s="20">
        <v>6</v>
      </c>
    </row>
    <row r="8" spans="1:34" x14ac:dyDescent="0.25">
      <c r="A8" s="13" t="s">
        <v>47</v>
      </c>
      <c r="B8" s="15" t="s">
        <v>108</v>
      </c>
      <c r="C8" s="13">
        <f>ROUND(AVERAGE(D8:AH8), 0)</f>
        <v>5</v>
      </c>
      <c r="I8" s="9">
        <v>6</v>
      </c>
      <c r="J8" s="10">
        <v>6</v>
      </c>
      <c r="K8" s="10">
        <v>6</v>
      </c>
      <c r="L8" s="10">
        <v>2</v>
      </c>
      <c r="M8" s="9">
        <v>6</v>
      </c>
      <c r="N8" s="20">
        <v>6</v>
      </c>
    </row>
    <row r="9" spans="1:34" x14ac:dyDescent="0.25">
      <c r="A9" s="13" t="s">
        <v>49</v>
      </c>
      <c r="B9" s="15" t="s">
        <v>50</v>
      </c>
      <c r="C9" s="13">
        <f>ROUND(AVERAGE(D9:AH9), 0)</f>
        <v>6</v>
      </c>
      <c r="H9" s="9">
        <v>6</v>
      </c>
      <c r="I9" s="9">
        <v>6</v>
      </c>
      <c r="J9" s="10">
        <v>6</v>
      </c>
      <c r="K9" s="10">
        <v>6</v>
      </c>
      <c r="L9" s="10">
        <v>6</v>
      </c>
      <c r="M9" s="9">
        <v>6</v>
      </c>
      <c r="N9" s="20">
        <v>6</v>
      </c>
    </row>
    <row r="10" spans="1:34" x14ac:dyDescent="0.25">
      <c r="A10" s="13" t="s">
        <v>51</v>
      </c>
      <c r="B10" s="15" t="s">
        <v>28</v>
      </c>
      <c r="C10" s="13">
        <f>ROUND(AVERAGE(D10:AH10), 0)</f>
        <v>6</v>
      </c>
      <c r="L10" s="10">
        <v>6</v>
      </c>
      <c r="M10" s="9">
        <v>6</v>
      </c>
      <c r="N10" s="20">
        <v>6</v>
      </c>
    </row>
    <row r="11" spans="1:34" x14ac:dyDescent="0.25">
      <c r="A11" s="13" t="s">
        <v>52</v>
      </c>
      <c r="B11" s="15" t="s">
        <v>31</v>
      </c>
      <c r="C11" s="13">
        <f>ROUND(AVERAGE(D11:AH11), 0)</f>
        <v>6</v>
      </c>
      <c r="D11" s="14">
        <v>6</v>
      </c>
      <c r="E11" s="9">
        <v>6</v>
      </c>
      <c r="F11" s="9">
        <v>6</v>
      </c>
      <c r="G11" s="9">
        <v>6</v>
      </c>
      <c r="H11" s="9">
        <v>6</v>
      </c>
      <c r="I11" s="9">
        <v>6</v>
      </c>
      <c r="J11" s="10">
        <v>6</v>
      </c>
      <c r="K11" s="10">
        <v>6</v>
      </c>
      <c r="L11" s="10">
        <v>6</v>
      </c>
      <c r="M11" s="9">
        <v>6</v>
      </c>
      <c r="N11" s="20">
        <v>6</v>
      </c>
    </row>
    <row r="12" spans="1:34" x14ac:dyDescent="0.25">
      <c r="A12" s="13" t="s">
        <v>56</v>
      </c>
      <c r="B12" s="15" t="s">
        <v>57</v>
      </c>
      <c r="C12" s="13">
        <f>ROUND(AVERAGE(D12:AH12), 0)</f>
        <v>4</v>
      </c>
      <c r="K12" s="10"/>
      <c r="L12" s="10"/>
      <c r="M12" s="9">
        <v>6</v>
      </c>
      <c r="N12" s="20">
        <v>1</v>
      </c>
    </row>
    <row r="13" spans="1:34" x14ac:dyDescent="0.25">
      <c r="A13" s="13" t="s">
        <v>58</v>
      </c>
      <c r="B13" s="15" t="s">
        <v>31</v>
      </c>
      <c r="C13" s="13">
        <f>ROUND(AVERAGE(D13:AH13), 0)</f>
        <v>6</v>
      </c>
      <c r="D13" s="14">
        <v>6</v>
      </c>
      <c r="E13" s="9">
        <v>6</v>
      </c>
      <c r="F13" s="9">
        <v>6</v>
      </c>
      <c r="G13" s="9">
        <v>6</v>
      </c>
      <c r="H13" s="9">
        <v>6</v>
      </c>
      <c r="I13" s="9">
        <v>6</v>
      </c>
      <c r="J13" s="10">
        <v>6</v>
      </c>
      <c r="K13" s="10">
        <v>6</v>
      </c>
      <c r="L13" s="10">
        <v>6</v>
      </c>
      <c r="M13" s="9">
        <v>6</v>
      </c>
      <c r="N13" s="20">
        <v>6</v>
      </c>
    </row>
    <row r="14" spans="1:34" x14ac:dyDescent="0.25">
      <c r="A14" s="13" t="s">
        <v>59</v>
      </c>
      <c r="B14" s="15" t="s">
        <v>57</v>
      </c>
      <c r="C14" s="13">
        <f>ROUND(AVERAGE(D14:AH14), 0)</f>
        <v>3</v>
      </c>
      <c r="K14" s="10"/>
      <c r="L14" s="10"/>
      <c r="M14" s="9">
        <v>6</v>
      </c>
      <c r="N14" s="20">
        <v>0</v>
      </c>
    </row>
    <row r="15" spans="1:34" x14ac:dyDescent="0.25">
      <c r="A15" s="13" t="s">
        <v>60</v>
      </c>
      <c r="B15" s="15" t="s">
        <v>31</v>
      </c>
      <c r="C15" s="13">
        <f>ROUND(AVERAGE(D15:AH15), 0)</f>
        <v>5</v>
      </c>
      <c r="G15" s="9">
        <v>0</v>
      </c>
      <c r="H15" s="9">
        <v>6</v>
      </c>
      <c r="I15" s="9">
        <v>6</v>
      </c>
      <c r="J15" s="10">
        <v>6</v>
      </c>
      <c r="K15" s="10">
        <v>6</v>
      </c>
      <c r="L15" s="10">
        <v>6</v>
      </c>
      <c r="M15" s="9">
        <v>6</v>
      </c>
      <c r="N15" s="20">
        <v>6</v>
      </c>
    </row>
    <row r="16" spans="1:34" x14ac:dyDescent="0.25">
      <c r="A16" s="13" t="s">
        <v>63</v>
      </c>
      <c r="B16" s="15" t="s">
        <v>31</v>
      </c>
      <c r="C16" s="13">
        <f>ROUND(AVERAGE(D16:AH16), 0)</f>
        <v>6</v>
      </c>
      <c r="G16" s="9">
        <v>6</v>
      </c>
      <c r="H16" s="9">
        <v>6</v>
      </c>
      <c r="I16" s="9">
        <v>6</v>
      </c>
      <c r="J16" s="10">
        <v>6</v>
      </c>
      <c r="K16" s="10">
        <v>6</v>
      </c>
      <c r="L16" s="10">
        <v>6</v>
      </c>
      <c r="M16" s="9">
        <v>6</v>
      </c>
      <c r="N16" s="20">
        <v>6</v>
      </c>
    </row>
    <row r="17" spans="1:14" x14ac:dyDescent="0.25">
      <c r="A17" s="13" t="s">
        <v>64</v>
      </c>
      <c r="B17" s="15" t="s">
        <v>31</v>
      </c>
      <c r="C17" s="13">
        <f>ROUND(AVERAGE(D17:AH17), 0)</f>
        <v>5</v>
      </c>
      <c r="G17" s="9">
        <v>0</v>
      </c>
      <c r="H17" s="9">
        <v>6</v>
      </c>
      <c r="I17" s="9">
        <v>6</v>
      </c>
      <c r="J17" s="10">
        <v>6</v>
      </c>
      <c r="K17" s="10">
        <v>6</v>
      </c>
      <c r="L17" s="10">
        <v>6</v>
      </c>
      <c r="M17" s="9">
        <v>6</v>
      </c>
      <c r="N17" s="20">
        <v>6</v>
      </c>
    </row>
    <row r="18" spans="1:14" x14ac:dyDescent="0.25">
      <c r="A18" s="13" t="s">
        <v>65</v>
      </c>
      <c r="B18" s="15" t="s">
        <v>28</v>
      </c>
      <c r="C18" s="13">
        <f>ROUND(AVERAGE(D18:AH18), 0)</f>
        <v>6</v>
      </c>
      <c r="L18" s="10">
        <v>6</v>
      </c>
      <c r="M18" s="9">
        <v>6</v>
      </c>
      <c r="N18" s="20">
        <v>6</v>
      </c>
    </row>
    <row r="19" spans="1:14" x14ac:dyDescent="0.25">
      <c r="A19" s="13" t="s">
        <v>66</v>
      </c>
      <c r="B19" s="15" t="s">
        <v>106</v>
      </c>
      <c r="C19" s="13">
        <f>ROUND(AVERAGE(D19:AH19), 0)</f>
        <v>6</v>
      </c>
      <c r="K19" s="10">
        <v>6</v>
      </c>
      <c r="L19" s="10">
        <v>6</v>
      </c>
      <c r="M19" s="9">
        <v>6</v>
      </c>
      <c r="N19" s="20">
        <v>6</v>
      </c>
    </row>
    <row r="20" spans="1:14" x14ac:dyDescent="0.25">
      <c r="A20" s="13" t="s">
        <v>69</v>
      </c>
      <c r="B20" s="15" t="s">
        <v>31</v>
      </c>
      <c r="C20" s="13">
        <f>ROUND(AVERAGE(D20:AH20), 0)</f>
        <v>6</v>
      </c>
      <c r="D20" s="14">
        <v>6</v>
      </c>
      <c r="E20" s="9">
        <v>6</v>
      </c>
      <c r="F20" s="9">
        <v>6</v>
      </c>
      <c r="G20" s="9">
        <v>6</v>
      </c>
      <c r="H20" s="9">
        <v>6</v>
      </c>
      <c r="I20" s="9">
        <v>6</v>
      </c>
      <c r="J20" s="10">
        <v>6</v>
      </c>
      <c r="K20" s="10">
        <v>6</v>
      </c>
      <c r="L20" s="10">
        <v>6</v>
      </c>
      <c r="M20" s="9">
        <v>6</v>
      </c>
      <c r="N20" s="20">
        <v>6</v>
      </c>
    </row>
    <row r="21" spans="1:14" x14ac:dyDescent="0.25">
      <c r="A21" s="13" t="s">
        <v>70</v>
      </c>
      <c r="B21" s="15" t="s">
        <v>31</v>
      </c>
      <c r="C21" s="13">
        <f>ROUND(AVERAGE(D21:AH21), 0)</f>
        <v>6</v>
      </c>
      <c r="D21" s="14">
        <v>5</v>
      </c>
      <c r="E21" s="9">
        <v>6</v>
      </c>
      <c r="F21" s="9">
        <v>6</v>
      </c>
      <c r="G21" s="9">
        <v>6</v>
      </c>
      <c r="H21" s="9">
        <v>5</v>
      </c>
      <c r="I21" s="9">
        <v>6</v>
      </c>
      <c r="J21" s="10">
        <v>6</v>
      </c>
      <c r="K21" s="10">
        <v>6</v>
      </c>
      <c r="L21" s="10">
        <v>6</v>
      </c>
      <c r="M21" s="9">
        <v>6</v>
      </c>
      <c r="N21" s="20">
        <v>6</v>
      </c>
    </row>
    <row r="22" spans="1:14" x14ac:dyDescent="0.25">
      <c r="A22" s="13" t="s">
        <v>71</v>
      </c>
      <c r="B22" s="15" t="s">
        <v>31</v>
      </c>
      <c r="C22" s="13">
        <f>ROUND(AVERAGE(D22:AH22), 0)</f>
        <v>6</v>
      </c>
      <c r="D22" s="14">
        <v>6</v>
      </c>
      <c r="E22" s="9">
        <v>6</v>
      </c>
      <c r="F22" s="9">
        <v>6</v>
      </c>
      <c r="G22" s="9">
        <v>6</v>
      </c>
      <c r="H22" s="9">
        <v>6</v>
      </c>
      <c r="I22" s="9">
        <v>6</v>
      </c>
      <c r="J22" s="10">
        <v>6</v>
      </c>
      <c r="K22" s="10">
        <v>6</v>
      </c>
      <c r="L22" s="10">
        <v>6</v>
      </c>
      <c r="M22" s="9">
        <v>6</v>
      </c>
      <c r="N22" s="20">
        <v>6</v>
      </c>
    </row>
    <row r="23" spans="1:14" x14ac:dyDescent="0.25">
      <c r="A23" s="13" t="s">
        <v>72</v>
      </c>
      <c r="B23" s="15" t="s">
        <v>31</v>
      </c>
      <c r="C23" s="13">
        <f>ROUND(AVERAGE(D23:AH23), 0)</f>
        <v>5</v>
      </c>
      <c r="D23" s="14">
        <v>0</v>
      </c>
      <c r="E23" s="9">
        <v>6</v>
      </c>
      <c r="F23" s="9">
        <v>6</v>
      </c>
      <c r="G23" s="9">
        <v>6</v>
      </c>
      <c r="H23" s="9">
        <v>6</v>
      </c>
      <c r="I23" s="9">
        <v>6</v>
      </c>
      <c r="J23" s="10">
        <v>5</v>
      </c>
      <c r="K23" s="10">
        <v>6</v>
      </c>
      <c r="L23" s="10">
        <v>6</v>
      </c>
      <c r="M23" s="9">
        <v>6</v>
      </c>
      <c r="N23" s="20">
        <v>6</v>
      </c>
    </row>
    <row r="24" spans="1:14" x14ac:dyDescent="0.25">
      <c r="A24" s="13" t="s">
        <v>73</v>
      </c>
      <c r="B24" s="15" t="s">
        <v>31</v>
      </c>
      <c r="C24" s="13">
        <f>ROUND(AVERAGE(D24:AH24), 0)</f>
        <v>6</v>
      </c>
      <c r="D24" s="14">
        <v>6</v>
      </c>
      <c r="E24" s="9">
        <v>6</v>
      </c>
      <c r="F24" s="9">
        <v>6</v>
      </c>
      <c r="G24" s="9">
        <v>6</v>
      </c>
      <c r="H24" s="9">
        <v>6</v>
      </c>
      <c r="I24" s="9">
        <v>6</v>
      </c>
      <c r="J24" s="10">
        <v>6</v>
      </c>
      <c r="K24" s="10">
        <v>6</v>
      </c>
      <c r="L24" s="10">
        <v>6</v>
      </c>
      <c r="M24" s="9">
        <v>6</v>
      </c>
      <c r="N24" s="20">
        <v>6</v>
      </c>
    </row>
    <row r="25" spans="1:14" x14ac:dyDescent="0.25">
      <c r="A25" s="13" t="s">
        <v>74</v>
      </c>
      <c r="B25" s="15" t="s">
        <v>31</v>
      </c>
      <c r="C25" s="13">
        <f>ROUND(AVERAGE(D25:AH25), 0)</f>
        <v>6</v>
      </c>
      <c r="J25" s="10"/>
      <c r="K25" s="10">
        <v>6</v>
      </c>
      <c r="L25" s="10">
        <v>6</v>
      </c>
      <c r="M25" s="9">
        <v>6</v>
      </c>
      <c r="N25" s="20">
        <v>6</v>
      </c>
    </row>
    <row r="26" spans="1:14" x14ac:dyDescent="0.25">
      <c r="A26" s="13" t="s">
        <v>75</v>
      </c>
      <c r="B26" s="15" t="s">
        <v>106</v>
      </c>
      <c r="C26" s="13">
        <f>ROUND(AVERAGE(D26:AH26), 0)</f>
        <v>6</v>
      </c>
      <c r="K26" s="10">
        <v>6</v>
      </c>
      <c r="L26" s="10">
        <v>6</v>
      </c>
      <c r="M26" s="9">
        <v>6</v>
      </c>
      <c r="N26" s="20">
        <v>6</v>
      </c>
    </row>
    <row r="27" spans="1:14" x14ac:dyDescent="0.25">
      <c r="A27" s="13" t="s">
        <v>76</v>
      </c>
      <c r="B27" s="15" t="s">
        <v>31</v>
      </c>
      <c r="C27" s="13">
        <f>ROUND(AVERAGE(D27:AH27), 0)</f>
        <v>6</v>
      </c>
      <c r="D27" s="14">
        <v>6</v>
      </c>
      <c r="E27" s="9">
        <v>6</v>
      </c>
      <c r="F27" s="9">
        <v>6</v>
      </c>
      <c r="G27" s="9">
        <v>6</v>
      </c>
      <c r="H27" s="9">
        <v>6</v>
      </c>
      <c r="I27" s="9">
        <v>6</v>
      </c>
      <c r="J27" s="10">
        <v>6</v>
      </c>
      <c r="K27" s="10">
        <v>6</v>
      </c>
      <c r="L27" s="10">
        <v>5</v>
      </c>
      <c r="M27" s="9">
        <v>6</v>
      </c>
      <c r="N27" s="20">
        <v>6</v>
      </c>
    </row>
    <row r="28" spans="1:14" x14ac:dyDescent="0.25">
      <c r="A28" s="13" t="s">
        <v>78</v>
      </c>
      <c r="B28" s="15" t="s">
        <v>31</v>
      </c>
      <c r="C28" s="13">
        <f>ROUND(AVERAGE(D28:AH28), 0)</f>
        <v>3</v>
      </c>
      <c r="G28" s="9">
        <v>0</v>
      </c>
      <c r="H28" s="9">
        <v>0</v>
      </c>
      <c r="I28" s="9">
        <v>0</v>
      </c>
      <c r="J28" s="10">
        <v>0</v>
      </c>
      <c r="K28" s="10">
        <v>5</v>
      </c>
      <c r="L28" s="10">
        <v>6</v>
      </c>
      <c r="M28" s="9">
        <v>6</v>
      </c>
      <c r="N28" s="20">
        <v>6</v>
      </c>
    </row>
    <row r="29" spans="1:14" x14ac:dyDescent="0.25">
      <c r="A29" s="13" t="s">
        <v>79</v>
      </c>
      <c r="B29" s="15" t="s">
        <v>31</v>
      </c>
      <c r="C29" s="13">
        <f>ROUND(AVERAGE(D29:AH29), 0)</f>
        <v>6</v>
      </c>
      <c r="G29" s="9">
        <v>6</v>
      </c>
      <c r="H29" s="9">
        <v>6</v>
      </c>
      <c r="I29" s="9">
        <v>6</v>
      </c>
      <c r="J29" s="10">
        <v>6</v>
      </c>
      <c r="K29" s="10">
        <v>6</v>
      </c>
      <c r="L29" s="10">
        <v>6</v>
      </c>
      <c r="M29" s="9">
        <v>6</v>
      </c>
      <c r="N29" s="33">
        <v>6</v>
      </c>
    </row>
    <row r="30" spans="1:14" x14ac:dyDescent="0.25">
      <c r="A30" s="13" t="s">
        <v>38</v>
      </c>
      <c r="B30" s="15" t="s">
        <v>31</v>
      </c>
      <c r="C30" s="13">
        <f>ROUND(AVERAGE(D30:AH30), 0)</f>
        <v>6</v>
      </c>
      <c r="G30" s="9">
        <v>6</v>
      </c>
      <c r="H30" s="9">
        <v>6</v>
      </c>
      <c r="I30" s="9">
        <v>5</v>
      </c>
      <c r="J30" s="10">
        <v>6</v>
      </c>
      <c r="K30" s="10">
        <v>6</v>
      </c>
      <c r="L30" s="10">
        <v>6</v>
      </c>
      <c r="M30" s="9">
        <v>5</v>
      </c>
      <c r="N30" s="20">
        <v>6</v>
      </c>
    </row>
    <row r="31" spans="1:14" x14ac:dyDescent="0.25">
      <c r="A31" s="13" t="s">
        <v>27</v>
      </c>
      <c r="B31" s="15" t="s">
        <v>105</v>
      </c>
      <c r="C31" s="13">
        <f>ROUND(AVERAGE(D31:AH31), 0)</f>
        <v>4</v>
      </c>
      <c r="J31" s="10">
        <v>6</v>
      </c>
      <c r="K31" s="10">
        <v>6</v>
      </c>
      <c r="L31" s="10">
        <v>5</v>
      </c>
      <c r="M31" s="9">
        <v>0</v>
      </c>
      <c r="N31" s="20">
        <v>1</v>
      </c>
    </row>
    <row r="32" spans="1:14" x14ac:dyDescent="0.25">
      <c r="A32" s="13" t="s">
        <v>29</v>
      </c>
      <c r="B32" s="15" t="s">
        <v>106</v>
      </c>
      <c r="C32" s="13">
        <f>ROUND(AVERAGE(D32:AH32), 0)</f>
        <v>0</v>
      </c>
      <c r="K32" s="10">
        <v>0</v>
      </c>
      <c r="L32" s="10">
        <v>0</v>
      </c>
      <c r="M32" s="9">
        <v>0</v>
      </c>
      <c r="N32" s="20">
        <v>0</v>
      </c>
    </row>
    <row r="33" spans="1:14" x14ac:dyDescent="0.25">
      <c r="A33" s="13" t="s">
        <v>32</v>
      </c>
      <c r="B33" s="15" t="s">
        <v>105</v>
      </c>
      <c r="C33" s="13">
        <f>ROUND(AVERAGE(D33:AH33), 0)</f>
        <v>1</v>
      </c>
      <c r="J33" s="10">
        <v>0</v>
      </c>
      <c r="K33" s="10">
        <v>6</v>
      </c>
      <c r="L33" s="10">
        <v>0</v>
      </c>
      <c r="M33" s="9">
        <v>0</v>
      </c>
      <c r="N33" s="20">
        <v>0</v>
      </c>
    </row>
    <row r="34" spans="1:14" x14ac:dyDescent="0.25">
      <c r="A34" s="13" t="s">
        <v>33</v>
      </c>
      <c r="B34" s="15" t="s">
        <v>28</v>
      </c>
      <c r="C34" s="13">
        <f>ROUND(AVERAGE(D34:AH34), 0)</f>
        <v>1</v>
      </c>
      <c r="L34" s="10">
        <v>0</v>
      </c>
      <c r="M34" s="9">
        <v>0</v>
      </c>
      <c r="N34" s="20">
        <v>3</v>
      </c>
    </row>
    <row r="35" spans="1:14" x14ac:dyDescent="0.25">
      <c r="A35" s="13" t="s">
        <v>35</v>
      </c>
      <c r="B35" s="15" t="s">
        <v>31</v>
      </c>
      <c r="C35" s="13">
        <f>ROUND(AVERAGE(D35:AH35), 0)</f>
        <v>4</v>
      </c>
      <c r="G35" s="9">
        <v>0</v>
      </c>
      <c r="H35" s="9">
        <v>6</v>
      </c>
      <c r="I35" s="9">
        <v>6</v>
      </c>
      <c r="J35" s="10">
        <v>6</v>
      </c>
      <c r="K35" s="10">
        <v>6</v>
      </c>
      <c r="L35" s="10">
        <v>5</v>
      </c>
      <c r="M35" s="9">
        <v>0</v>
      </c>
      <c r="N35" s="20">
        <v>4</v>
      </c>
    </row>
    <row r="36" spans="1:14" x14ac:dyDescent="0.25">
      <c r="A36" s="13" t="s">
        <v>37</v>
      </c>
      <c r="B36" s="15" t="s">
        <v>31</v>
      </c>
      <c r="C36" s="13">
        <f>ROUND(AVERAGE(D36:AH36), 0)</f>
        <v>3</v>
      </c>
      <c r="D36" s="14">
        <v>6</v>
      </c>
      <c r="E36" s="9">
        <v>6</v>
      </c>
      <c r="F36" s="9">
        <v>6</v>
      </c>
      <c r="G36" s="9">
        <v>6</v>
      </c>
      <c r="H36" s="9">
        <v>0</v>
      </c>
      <c r="I36" s="9">
        <v>0</v>
      </c>
      <c r="J36" s="10">
        <v>0</v>
      </c>
      <c r="K36" s="10">
        <v>0</v>
      </c>
      <c r="L36" s="10">
        <v>3</v>
      </c>
      <c r="M36" s="9">
        <v>0</v>
      </c>
      <c r="N36" s="20">
        <v>6</v>
      </c>
    </row>
    <row r="37" spans="1:14" x14ac:dyDescent="0.25">
      <c r="A37" s="13" t="s">
        <v>40</v>
      </c>
      <c r="B37" s="15" t="s">
        <v>31</v>
      </c>
      <c r="C37" s="13">
        <f>ROUND(AVERAGE(D37:AH37), 0)</f>
        <v>4</v>
      </c>
      <c r="G37" s="9">
        <v>5</v>
      </c>
      <c r="H37" s="9">
        <v>5</v>
      </c>
      <c r="I37" s="9">
        <v>6</v>
      </c>
      <c r="J37" s="10">
        <v>2</v>
      </c>
      <c r="K37" s="10">
        <v>5</v>
      </c>
      <c r="L37" s="10">
        <v>5</v>
      </c>
      <c r="M37" s="9">
        <v>0</v>
      </c>
      <c r="N37" s="20">
        <v>0</v>
      </c>
    </row>
    <row r="38" spans="1:14" x14ac:dyDescent="0.25">
      <c r="A38" s="13" t="s">
        <v>44</v>
      </c>
      <c r="B38" s="15" t="s">
        <v>107</v>
      </c>
      <c r="C38" s="13">
        <f>ROUND(AVERAGE(D38:AH38), 0)</f>
        <v>0</v>
      </c>
      <c r="L38" s="9">
        <v>0</v>
      </c>
      <c r="M38" s="9">
        <v>0</v>
      </c>
      <c r="N38" s="20">
        <v>0</v>
      </c>
    </row>
    <row r="39" spans="1:14" x14ac:dyDescent="0.25">
      <c r="A39" s="13" t="s">
        <v>45</v>
      </c>
      <c r="B39" s="15" t="s">
        <v>28</v>
      </c>
      <c r="C39" s="13">
        <f>ROUND(AVERAGE(D39:AH39), 0)</f>
        <v>1</v>
      </c>
      <c r="L39" s="9">
        <v>2</v>
      </c>
      <c r="M39" s="9">
        <v>0</v>
      </c>
      <c r="N39" s="20">
        <v>0</v>
      </c>
    </row>
    <row r="40" spans="1:14" x14ac:dyDescent="0.25">
      <c r="A40" s="13" t="s">
        <v>53</v>
      </c>
      <c r="B40" s="15" t="s">
        <v>31</v>
      </c>
      <c r="C40" s="13">
        <f>ROUND(AVERAGE(D40:AH40), 0)</f>
        <v>3</v>
      </c>
      <c r="D40" s="14">
        <v>6</v>
      </c>
      <c r="E40" s="9">
        <v>6</v>
      </c>
      <c r="F40" s="9">
        <v>6</v>
      </c>
      <c r="G40" s="9">
        <v>0</v>
      </c>
      <c r="H40" s="9">
        <v>0</v>
      </c>
      <c r="J40" s="10">
        <v>6</v>
      </c>
      <c r="K40" s="10">
        <v>0</v>
      </c>
      <c r="L40" s="10">
        <v>0</v>
      </c>
      <c r="M40" s="9">
        <v>0</v>
      </c>
      <c r="N40" s="20">
        <v>6</v>
      </c>
    </row>
    <row r="41" spans="1:14" x14ac:dyDescent="0.25">
      <c r="A41" s="13" t="s">
        <v>61</v>
      </c>
      <c r="B41" s="15" t="s">
        <v>31</v>
      </c>
      <c r="C41" s="13">
        <f>ROUND(AVERAGE(D41:AH41), 0)</f>
        <v>2</v>
      </c>
      <c r="D41" s="14">
        <v>6</v>
      </c>
      <c r="E41" s="9">
        <v>0</v>
      </c>
      <c r="F41" s="9">
        <v>6</v>
      </c>
      <c r="G41" s="9">
        <v>0</v>
      </c>
      <c r="H41" s="9">
        <v>0</v>
      </c>
      <c r="I41" s="9">
        <v>0</v>
      </c>
      <c r="J41" s="10">
        <v>0</v>
      </c>
      <c r="K41" s="10">
        <v>6</v>
      </c>
      <c r="L41" s="10">
        <v>0</v>
      </c>
      <c r="M41" s="9">
        <v>0</v>
      </c>
      <c r="N41" s="20">
        <v>0</v>
      </c>
    </row>
    <row r="42" spans="1:14" x14ac:dyDescent="0.25">
      <c r="A42" s="13" t="s">
        <v>62</v>
      </c>
      <c r="B42" s="15" t="s">
        <v>31</v>
      </c>
      <c r="C42" s="13">
        <f>ROUND(AVERAGE(D42:AH42), 0)</f>
        <v>3</v>
      </c>
      <c r="D42" s="14">
        <v>6</v>
      </c>
      <c r="E42" s="9">
        <v>0</v>
      </c>
      <c r="F42" s="9">
        <v>6</v>
      </c>
      <c r="G42" s="9">
        <v>0</v>
      </c>
      <c r="H42" s="9">
        <v>5</v>
      </c>
      <c r="I42" s="9">
        <v>6</v>
      </c>
      <c r="J42" s="10">
        <v>6</v>
      </c>
      <c r="K42" s="10">
        <v>0</v>
      </c>
      <c r="L42" s="10">
        <v>0</v>
      </c>
      <c r="M42" s="9">
        <v>0</v>
      </c>
      <c r="N42" s="20">
        <v>0</v>
      </c>
    </row>
    <row r="43" spans="1:14" x14ac:dyDescent="0.25">
      <c r="A43" s="13" t="s">
        <v>80</v>
      </c>
      <c r="B43" s="15" t="s">
        <v>109</v>
      </c>
      <c r="C43" s="13">
        <f>ROUND(AVERAGE(D43:AH43), 0)</f>
        <v>3</v>
      </c>
      <c r="K43" s="10">
        <v>6</v>
      </c>
      <c r="L43" s="10">
        <v>6</v>
      </c>
      <c r="M43" s="9">
        <v>0</v>
      </c>
      <c r="N43" s="33">
        <v>0</v>
      </c>
    </row>
    <row r="44" spans="1:14" x14ac:dyDescent="0.25">
      <c r="A44" s="13" t="s">
        <v>117</v>
      </c>
      <c r="B44" s="15" t="s">
        <v>116</v>
      </c>
      <c r="C44" s="13" t="e">
        <f>ROUND(AVERAGE(D44:AH44), 0)</f>
        <v>#DIV/0!</v>
      </c>
      <c r="K44" s="10"/>
      <c r="L44" s="10"/>
      <c r="N44" s="32"/>
    </row>
    <row r="45" spans="1:14" x14ac:dyDescent="0.25">
      <c r="A45" s="13" t="s">
        <v>113</v>
      </c>
      <c r="B45" s="15" t="s">
        <v>114</v>
      </c>
      <c r="C45" s="13">
        <f>ROUND(AVERAGE(D45:AH45), 0)</f>
        <v>0</v>
      </c>
      <c r="K45" s="10"/>
      <c r="L45" s="10"/>
      <c r="N45" s="20">
        <v>0</v>
      </c>
    </row>
    <row r="46" spans="1:14" x14ac:dyDescent="0.25">
      <c r="A46" s="13" t="s">
        <v>112</v>
      </c>
      <c r="B46" s="15" t="s">
        <v>111</v>
      </c>
      <c r="C46" s="13">
        <f>ROUND(AVERAGE(D46:AH46), 0)</f>
        <v>0</v>
      </c>
      <c r="K46" s="10"/>
      <c r="L46" s="10"/>
      <c r="N46" s="20">
        <v>0</v>
      </c>
    </row>
    <row r="47" spans="1:14" x14ac:dyDescent="0.25">
      <c r="A47" s="13" t="s">
        <v>115</v>
      </c>
      <c r="B47" s="15" t="s">
        <v>116</v>
      </c>
      <c r="C47" s="13" t="e">
        <f>ROUND(AVERAGE(D47:AH47), 0)</f>
        <v>#DIV/0!</v>
      </c>
      <c r="K47" s="10"/>
      <c r="L47" s="10"/>
      <c r="N47" s="32"/>
    </row>
    <row r="48" spans="1:14" x14ac:dyDescent="0.25">
      <c r="A48" s="13" t="s">
        <v>84</v>
      </c>
      <c r="B48" s="15" t="s">
        <v>111</v>
      </c>
      <c r="C48" s="13">
        <f>ROUND(AVERAGE(D48:AH48), 0)</f>
        <v>0</v>
      </c>
      <c r="K48" s="10"/>
      <c r="L48" s="10"/>
      <c r="N48" s="20">
        <v>0</v>
      </c>
    </row>
    <row r="49" spans="1:14" x14ac:dyDescent="0.25">
      <c r="A49" s="13" t="s">
        <v>110</v>
      </c>
      <c r="B49" s="15" t="s">
        <v>111</v>
      </c>
      <c r="C49" s="13">
        <f>ROUND(AVERAGE(D49:AH49), 0)</f>
        <v>0</v>
      </c>
      <c r="K49" s="10"/>
      <c r="L49" s="10"/>
      <c r="N49" s="10">
        <v>0</v>
      </c>
    </row>
    <row r="50" spans="1:14" ht="15.75" customHeight="1" x14ac:dyDescent="0.25">
      <c r="A50" s="13" t="s">
        <v>81</v>
      </c>
      <c r="B50" s="15" t="s">
        <v>111</v>
      </c>
      <c r="C50" s="13">
        <f>ROUND(AVERAGE(D50:AH50), 0)</f>
        <v>0</v>
      </c>
      <c r="K50" s="10"/>
      <c r="L50" s="10"/>
      <c r="N50" s="10">
        <v>0</v>
      </c>
    </row>
  </sheetData>
  <autoFilter ref="A1:AT1" xr:uid="{00000000-0009-0000-0000-000001000000}">
    <sortState xmlns:xlrd2="http://schemas.microsoft.com/office/spreadsheetml/2017/richdata2" ref="A2:AT50">
      <sortCondition descending="1" ref="M1"/>
    </sortState>
  </autoFilter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1"/>
  <sheetViews>
    <sheetView workbookViewId="0">
      <selection activeCell="F11" sqref="F11"/>
    </sheetView>
  </sheetViews>
  <sheetFormatPr defaultRowHeight="15" x14ac:dyDescent="0.25"/>
  <cols>
    <col min="1" max="1" width="14.28515625" customWidth="1"/>
    <col min="2" max="10" width="11.5703125" customWidth="1"/>
    <col min="11" max="19" width="12.5703125" customWidth="1"/>
  </cols>
  <sheetData>
    <row r="1" spans="1:19" ht="15.75" customHeight="1" thickBot="1" x14ac:dyDescent="0.3">
      <c r="A1" s="2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  <c r="G1" t="s">
        <v>124</v>
      </c>
      <c r="H1" t="s">
        <v>125</v>
      </c>
      <c r="I1" t="s">
        <v>126</v>
      </c>
      <c r="J1" t="s">
        <v>127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</row>
    <row r="2" spans="1:19" x14ac:dyDescent="0.25">
      <c r="A2" s="1" t="s">
        <v>128</v>
      </c>
      <c r="B2">
        <v>0</v>
      </c>
    </row>
    <row r="3" spans="1:19" x14ac:dyDescent="0.25">
      <c r="A3" s="1" t="s">
        <v>129</v>
      </c>
      <c r="B3">
        <v>0</v>
      </c>
    </row>
    <row r="4" spans="1:19" x14ac:dyDescent="0.25">
      <c r="A4" s="1" t="s">
        <v>130</v>
      </c>
      <c r="B4">
        <v>0</v>
      </c>
    </row>
    <row r="5" spans="1:19" x14ac:dyDescent="0.25">
      <c r="A5" s="1" t="s">
        <v>37</v>
      </c>
      <c r="B5">
        <v>3</v>
      </c>
    </row>
    <row r="6" spans="1:19" x14ac:dyDescent="0.25">
      <c r="A6" s="1" t="s">
        <v>131</v>
      </c>
      <c r="B6">
        <v>3</v>
      </c>
    </row>
    <row r="7" spans="1:19" x14ac:dyDescent="0.25">
      <c r="A7" s="1" t="s">
        <v>132</v>
      </c>
      <c r="B7">
        <v>9</v>
      </c>
    </row>
    <row r="8" spans="1:19" x14ac:dyDescent="0.25">
      <c r="A8" s="1" t="s">
        <v>133</v>
      </c>
      <c r="B8">
        <v>9</v>
      </c>
    </row>
    <row r="9" spans="1:19" x14ac:dyDescent="0.25">
      <c r="A9" s="1" t="s">
        <v>134</v>
      </c>
      <c r="B9">
        <v>12</v>
      </c>
    </row>
    <row r="10" spans="1:19" x14ac:dyDescent="0.25">
      <c r="A10" s="1" t="s">
        <v>135</v>
      </c>
      <c r="B10">
        <v>15</v>
      </c>
    </row>
    <row r="11" spans="1:19" x14ac:dyDescent="0.25">
      <c r="A11" s="1" t="s">
        <v>136</v>
      </c>
      <c r="B11">
        <v>19</v>
      </c>
    </row>
    <row r="12" spans="1:19" x14ac:dyDescent="0.25">
      <c r="A12" s="1" t="s">
        <v>137</v>
      </c>
      <c r="B12">
        <v>20</v>
      </c>
    </row>
    <row r="13" spans="1:19" x14ac:dyDescent="0.25">
      <c r="A13" s="1" t="s">
        <v>40</v>
      </c>
      <c r="B13">
        <v>21</v>
      </c>
    </row>
    <row r="14" spans="1:19" x14ac:dyDescent="0.25">
      <c r="A14" s="1" t="s">
        <v>138</v>
      </c>
      <c r="B14">
        <v>29</v>
      </c>
    </row>
    <row r="15" spans="1:19" x14ac:dyDescent="0.25">
      <c r="A15" s="1" t="s">
        <v>139</v>
      </c>
      <c r="B15">
        <v>32</v>
      </c>
    </row>
    <row r="16" spans="1:19" x14ac:dyDescent="0.25">
      <c r="A16" s="1" t="s">
        <v>39</v>
      </c>
      <c r="B16">
        <v>37</v>
      </c>
    </row>
    <row r="17" spans="1:2" x14ac:dyDescent="0.25">
      <c r="A17" s="1" t="s">
        <v>35</v>
      </c>
      <c r="B17">
        <v>38</v>
      </c>
    </row>
    <row r="18" spans="1:2" x14ac:dyDescent="0.25">
      <c r="A18" s="1" t="s">
        <v>74</v>
      </c>
      <c r="B18">
        <v>43</v>
      </c>
    </row>
    <row r="19" spans="1:2" x14ac:dyDescent="0.25">
      <c r="A19" s="1" t="s">
        <v>78</v>
      </c>
      <c r="B19">
        <v>47</v>
      </c>
    </row>
    <row r="20" spans="1:2" x14ac:dyDescent="0.25">
      <c r="A20" s="1" t="s">
        <v>140</v>
      </c>
      <c r="B20">
        <v>54</v>
      </c>
    </row>
    <row r="21" spans="1:2" x14ac:dyDescent="0.25">
      <c r="A21" s="1" t="s">
        <v>141</v>
      </c>
      <c r="B21">
        <v>58</v>
      </c>
    </row>
    <row r="22" spans="1:2" x14ac:dyDescent="0.25">
      <c r="A22" s="1" t="s">
        <v>142</v>
      </c>
      <c r="B22">
        <v>61</v>
      </c>
    </row>
    <row r="23" spans="1:2" x14ac:dyDescent="0.25">
      <c r="A23" s="1" t="s">
        <v>143</v>
      </c>
      <c r="B23">
        <v>70</v>
      </c>
    </row>
    <row r="24" spans="1:2" x14ac:dyDescent="0.25">
      <c r="A24" s="1" t="s">
        <v>144</v>
      </c>
      <c r="B24">
        <v>72</v>
      </c>
    </row>
    <row r="25" spans="1:2" x14ac:dyDescent="0.25">
      <c r="A25" s="1" t="s">
        <v>145</v>
      </c>
      <c r="B25">
        <v>87</v>
      </c>
    </row>
    <row r="26" spans="1:2" x14ac:dyDescent="0.25">
      <c r="A26" s="1" t="s">
        <v>146</v>
      </c>
      <c r="B26">
        <v>92</v>
      </c>
    </row>
    <row r="27" spans="1:2" x14ac:dyDescent="0.25">
      <c r="A27" s="1" t="s">
        <v>147</v>
      </c>
      <c r="B27">
        <v>96</v>
      </c>
    </row>
    <row r="28" spans="1:2" x14ac:dyDescent="0.25">
      <c r="A28" s="1" t="s">
        <v>43</v>
      </c>
      <c r="B28">
        <v>102</v>
      </c>
    </row>
    <row r="29" spans="1:2" x14ac:dyDescent="0.25">
      <c r="A29" s="1" t="s">
        <v>69</v>
      </c>
      <c r="B29">
        <v>103</v>
      </c>
    </row>
    <row r="30" spans="1:2" x14ac:dyDescent="0.25">
      <c r="A30" s="1" t="s">
        <v>148</v>
      </c>
      <c r="B30">
        <v>105</v>
      </c>
    </row>
    <row r="31" spans="1:2" x14ac:dyDescent="0.25">
      <c r="A31" s="1" t="s">
        <v>70</v>
      </c>
      <c r="B31">
        <v>109</v>
      </c>
    </row>
    <row r="32" spans="1:2" x14ac:dyDescent="0.25">
      <c r="A32" s="1" t="s">
        <v>38</v>
      </c>
      <c r="B32">
        <v>130</v>
      </c>
    </row>
    <row r="33" spans="1:2" x14ac:dyDescent="0.25">
      <c r="A33" s="1" t="s">
        <v>64</v>
      </c>
      <c r="B33">
        <v>132</v>
      </c>
    </row>
    <row r="34" spans="1:2" x14ac:dyDescent="0.25">
      <c r="A34" s="1" t="s">
        <v>149</v>
      </c>
      <c r="B34">
        <v>169</v>
      </c>
    </row>
    <row r="35" spans="1:2" x14ac:dyDescent="0.25">
      <c r="A35" s="1" t="s">
        <v>71</v>
      </c>
      <c r="B35">
        <v>171</v>
      </c>
    </row>
    <row r="36" spans="1:2" x14ac:dyDescent="0.25">
      <c r="A36" s="1" t="s">
        <v>46</v>
      </c>
      <c r="B36">
        <v>192</v>
      </c>
    </row>
    <row r="37" spans="1:2" x14ac:dyDescent="0.25">
      <c r="A37" s="1" t="s">
        <v>61</v>
      </c>
      <c r="B37">
        <v>199</v>
      </c>
    </row>
    <row r="38" spans="1:2" x14ac:dyDescent="0.25">
      <c r="A38" s="1" t="s">
        <v>36</v>
      </c>
      <c r="B38">
        <v>212</v>
      </c>
    </row>
    <row r="39" spans="1:2" x14ac:dyDescent="0.25">
      <c r="A39" s="1" t="s">
        <v>76</v>
      </c>
      <c r="B39">
        <v>228</v>
      </c>
    </row>
    <row r="40" spans="1:2" x14ac:dyDescent="0.25">
      <c r="A40" s="1" t="s">
        <v>62</v>
      </c>
      <c r="B40">
        <v>237</v>
      </c>
    </row>
    <row r="41" spans="1:2" x14ac:dyDescent="0.25">
      <c r="A41" s="1" t="s">
        <v>150</v>
      </c>
      <c r="B41">
        <v>239</v>
      </c>
    </row>
    <row r="42" spans="1:2" x14ac:dyDescent="0.25">
      <c r="A42" s="1" t="s">
        <v>60</v>
      </c>
      <c r="B42">
        <v>282</v>
      </c>
    </row>
    <row r="43" spans="1:2" x14ac:dyDescent="0.25">
      <c r="A43" s="1" t="s">
        <v>79</v>
      </c>
      <c r="B43">
        <v>376</v>
      </c>
    </row>
    <row r="44" spans="1:2" x14ac:dyDescent="0.25">
      <c r="A44" s="1" t="s">
        <v>73</v>
      </c>
      <c r="B44">
        <v>388</v>
      </c>
    </row>
    <row r="45" spans="1:2" x14ac:dyDescent="0.25">
      <c r="A45" s="1" t="s">
        <v>151</v>
      </c>
      <c r="B45">
        <v>424</v>
      </c>
    </row>
    <row r="46" spans="1:2" x14ac:dyDescent="0.25">
      <c r="A46" s="1" t="s">
        <v>72</v>
      </c>
      <c r="B46">
        <v>491</v>
      </c>
    </row>
    <row r="47" spans="1:2" x14ac:dyDescent="0.25">
      <c r="A47" s="1" t="s">
        <v>58</v>
      </c>
      <c r="B47">
        <v>538</v>
      </c>
    </row>
    <row r="48" spans="1:2" x14ac:dyDescent="0.25">
      <c r="A48" s="1" t="s">
        <v>30</v>
      </c>
      <c r="B48">
        <v>552</v>
      </c>
    </row>
    <row r="49" spans="1:2" x14ac:dyDescent="0.25">
      <c r="A49" s="1" t="s">
        <v>53</v>
      </c>
      <c r="B49">
        <v>566</v>
      </c>
    </row>
    <row r="50" spans="1:2" x14ac:dyDescent="0.25">
      <c r="A50" s="1" t="s">
        <v>52</v>
      </c>
      <c r="B50">
        <v>650</v>
      </c>
    </row>
    <row r="51" spans="1:2" x14ac:dyDescent="0.25">
      <c r="A51" s="1" t="s">
        <v>63</v>
      </c>
      <c r="B51">
        <v>935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clan games</vt:lpstr>
      <vt:lpstr>CLAN CAPITAL</vt:lpstr>
      <vt:lpstr>eventi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pietro giannini</cp:lastModifiedBy>
  <dcterms:created xsi:type="dcterms:W3CDTF">2025-11-06T14:05:00Z</dcterms:created>
  <dcterms:modified xsi:type="dcterms:W3CDTF">2026-02-05T15:00:05Z</dcterms:modified>
</cp:coreProperties>
</file>