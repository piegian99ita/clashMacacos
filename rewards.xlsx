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tente\Documents\GitHub\clashMacacos\"/>
    </mc:Choice>
  </mc:AlternateContent>
  <xr:revisionPtr revIDLastSave="0" documentId="8_{E1ED27BB-8460-4644-8693-06A6BAA7CB35}" xr6:coauthVersionLast="47" xr6:coauthVersionMax="47" xr10:uidLastSave="{00000000-0000-0000-0000-000000000000}"/>
  <bookViews>
    <workbookView xWindow="-120" yWindow="-120" windowWidth="29040" windowHeight="15840" activeTab="4" xr2:uid="{00000000-000D-0000-FFFF-FFFF00000000}"/>
  </bookViews>
  <sheets>
    <sheet name="CWL 1" sheetId="1" r:id="rId1"/>
    <sheet name="CWL 2" sheetId="2" r:id="rId2"/>
    <sheet name="avv" sheetId="3" r:id="rId3"/>
    <sheet name="partecipanti" sheetId="4" r:id="rId4"/>
    <sheet name="wars" sheetId="5" r:id="rId5"/>
    <sheet name="inatttivi" sheetId="6" r:id="rId6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5" i="5" l="1"/>
  <c r="F7" i="5"/>
  <c r="F9" i="5"/>
  <c r="F19" i="5"/>
  <c r="F17" i="5"/>
  <c r="F21" i="5"/>
  <c r="F20" i="5"/>
  <c r="F5" i="5"/>
  <c r="F22" i="5"/>
  <c r="F23" i="5"/>
  <c r="F24" i="5"/>
  <c r="F26" i="5"/>
  <c r="F27" i="5"/>
  <c r="F28" i="5"/>
  <c r="F29" i="5"/>
  <c r="F4" i="5"/>
  <c r="F2" i="5"/>
  <c r="F30" i="5"/>
  <c r="F3" i="5"/>
  <c r="F31" i="5"/>
  <c r="F32" i="5"/>
  <c r="F6" i="5"/>
  <c r="F18" i="5"/>
  <c r="F33" i="5"/>
  <c r="F34" i="5"/>
  <c r="F35" i="5"/>
  <c r="F36" i="5"/>
  <c r="F37" i="5"/>
  <c r="F38" i="5"/>
  <c r="F39" i="5"/>
  <c r="F40" i="5"/>
  <c r="F8" i="5"/>
  <c r="F41" i="5"/>
  <c r="F42" i="5"/>
  <c r="F43" i="5"/>
  <c r="F10" i="5"/>
  <c r="F11" i="5"/>
  <c r="F44" i="5"/>
  <c r="F45" i="5"/>
  <c r="F46" i="5"/>
  <c r="F12" i="5"/>
  <c r="F13" i="5"/>
  <c r="F48" i="5"/>
  <c r="F49" i="5"/>
  <c r="F14" i="5"/>
  <c r="F50" i="5"/>
  <c r="F15" i="5"/>
  <c r="F16" i="5"/>
  <c r="F47" i="5"/>
  <c r="E7" i="5"/>
  <c r="E9" i="5"/>
  <c r="E19" i="5"/>
  <c r="E17" i="5"/>
  <c r="E21" i="5"/>
  <c r="E20" i="5"/>
  <c r="E5" i="5"/>
  <c r="E22" i="5"/>
  <c r="E23" i="5"/>
  <c r="E24" i="5"/>
  <c r="E26" i="5"/>
  <c r="E27" i="5"/>
  <c r="E28" i="5"/>
  <c r="E29" i="5"/>
  <c r="E4" i="5"/>
  <c r="E2" i="5"/>
  <c r="E30" i="5"/>
  <c r="E3" i="5"/>
  <c r="E31" i="5"/>
  <c r="E32" i="5"/>
  <c r="E6" i="5"/>
  <c r="E18" i="5"/>
  <c r="E33" i="5"/>
  <c r="E34" i="5"/>
  <c r="E35" i="5"/>
  <c r="E36" i="5"/>
  <c r="E37" i="5"/>
  <c r="E38" i="5"/>
  <c r="E39" i="5"/>
  <c r="E40" i="5"/>
  <c r="E8" i="5"/>
  <c r="E41" i="5"/>
  <c r="E42" i="5"/>
  <c r="E43" i="5"/>
  <c r="E10" i="5"/>
  <c r="E11" i="5"/>
  <c r="E44" i="5"/>
  <c r="E45" i="5"/>
  <c r="E46" i="5"/>
  <c r="E12" i="5"/>
  <c r="E13" i="5"/>
  <c r="E48" i="5"/>
  <c r="E49" i="5"/>
  <c r="E14" i="5"/>
  <c r="E50" i="5"/>
  <c r="E15" i="5"/>
  <c r="E16" i="5"/>
  <c r="E25" i="5"/>
  <c r="E47" i="5"/>
  <c r="V34" i="2"/>
  <c r="S34" i="2"/>
  <c r="P34" i="2"/>
  <c r="D34" i="2"/>
  <c r="V32" i="2"/>
  <c r="S32" i="2"/>
  <c r="J32" i="2"/>
  <c r="G32" i="2"/>
  <c r="D32" i="2"/>
  <c r="V31" i="2"/>
  <c r="S31" i="2"/>
  <c r="P31" i="2"/>
  <c r="M31" i="2"/>
  <c r="J31" i="2"/>
  <c r="G31" i="2"/>
  <c r="D31" i="2"/>
  <c r="V30" i="2"/>
  <c r="S30" i="2"/>
  <c r="P30" i="2"/>
  <c r="M30" i="2"/>
  <c r="J30" i="2"/>
  <c r="G30" i="2"/>
  <c r="D30" i="2"/>
  <c r="V29" i="2"/>
  <c r="S29" i="2"/>
  <c r="P29" i="2"/>
  <c r="M29" i="2"/>
  <c r="J29" i="2"/>
  <c r="G29" i="2"/>
  <c r="D29" i="2"/>
  <c r="V28" i="2"/>
  <c r="S28" i="2"/>
  <c r="P28" i="2"/>
  <c r="M28" i="2"/>
  <c r="J28" i="2"/>
  <c r="G28" i="2"/>
  <c r="D28" i="2"/>
  <c r="V27" i="2"/>
  <c r="S27" i="2"/>
  <c r="P27" i="2"/>
  <c r="J27" i="2"/>
  <c r="G27" i="2"/>
  <c r="D27" i="2"/>
  <c r="V26" i="2"/>
  <c r="S26" i="2"/>
  <c r="P26" i="2"/>
  <c r="M26" i="2"/>
  <c r="G26" i="2"/>
  <c r="D26" i="2"/>
  <c r="V25" i="2"/>
  <c r="S25" i="2"/>
  <c r="P25" i="2"/>
  <c r="J25" i="2"/>
  <c r="G25" i="2"/>
  <c r="D25" i="2"/>
  <c r="V24" i="2"/>
  <c r="S24" i="2"/>
  <c r="M24" i="2"/>
  <c r="V23" i="2"/>
  <c r="S23" i="2"/>
  <c r="P23" i="2"/>
  <c r="M23" i="2"/>
  <c r="J23" i="2"/>
  <c r="G23" i="2"/>
  <c r="D23" i="2"/>
  <c r="V22" i="2"/>
  <c r="S22" i="2"/>
  <c r="P22" i="2"/>
  <c r="M22" i="2"/>
  <c r="J22" i="2"/>
  <c r="G22" i="2"/>
  <c r="D22" i="2"/>
  <c r="V21" i="2"/>
  <c r="S21" i="2"/>
  <c r="P21" i="2"/>
  <c r="M21" i="2"/>
  <c r="J21" i="2"/>
  <c r="V20" i="2"/>
  <c r="S20" i="2"/>
  <c r="P20" i="2"/>
  <c r="M20" i="2"/>
  <c r="J20" i="2"/>
  <c r="G20" i="2"/>
  <c r="D20" i="2"/>
  <c r="V19" i="2"/>
  <c r="S19" i="2"/>
  <c r="P19" i="2"/>
  <c r="V18" i="2"/>
  <c r="S18" i="2"/>
  <c r="P18" i="2"/>
  <c r="M18" i="2"/>
  <c r="J18" i="2"/>
  <c r="G18" i="2"/>
  <c r="D18" i="2"/>
  <c r="V17" i="2"/>
  <c r="S17" i="2"/>
  <c r="P17" i="2"/>
  <c r="M17" i="2"/>
  <c r="J17" i="2"/>
  <c r="G17" i="2"/>
  <c r="D17" i="2"/>
  <c r="V16" i="2"/>
  <c r="S16" i="2"/>
  <c r="P16" i="2"/>
  <c r="M16" i="2"/>
  <c r="J16" i="2"/>
  <c r="G16" i="2"/>
  <c r="D16" i="2"/>
  <c r="V15" i="2"/>
  <c r="S15" i="2"/>
  <c r="P15" i="2"/>
  <c r="M15" i="2"/>
  <c r="J15" i="2"/>
  <c r="G15" i="2"/>
  <c r="D15" i="2"/>
  <c r="V14" i="2"/>
  <c r="S14" i="2"/>
  <c r="P14" i="2"/>
  <c r="M14" i="2"/>
  <c r="J14" i="2"/>
  <c r="G14" i="2"/>
  <c r="D14" i="2"/>
  <c r="V13" i="2"/>
  <c r="S13" i="2"/>
  <c r="P13" i="2"/>
  <c r="M13" i="2"/>
  <c r="J13" i="2"/>
  <c r="G13" i="2"/>
  <c r="D13" i="2"/>
  <c r="V12" i="2"/>
  <c r="S12" i="2"/>
  <c r="P12" i="2"/>
  <c r="M12" i="2"/>
  <c r="D12" i="2"/>
  <c r="V11" i="2"/>
  <c r="S11" i="2"/>
  <c r="P11" i="2"/>
  <c r="M11" i="2"/>
  <c r="J11" i="2"/>
  <c r="G11" i="2"/>
  <c r="D11" i="2"/>
  <c r="V10" i="2"/>
  <c r="S10" i="2"/>
  <c r="P10" i="2"/>
  <c r="M10" i="2"/>
  <c r="J10" i="2"/>
  <c r="G10" i="2"/>
  <c r="D10" i="2"/>
  <c r="V9" i="2"/>
  <c r="S9" i="2"/>
  <c r="V8" i="2"/>
  <c r="S8" i="2"/>
  <c r="P8" i="2"/>
  <c r="M8" i="2"/>
  <c r="J8" i="2"/>
  <c r="G8" i="2"/>
  <c r="D8" i="2"/>
  <c r="V7" i="2"/>
  <c r="S7" i="2"/>
  <c r="P7" i="2"/>
  <c r="M7" i="2"/>
  <c r="J7" i="2"/>
  <c r="G7" i="2"/>
  <c r="D7" i="2"/>
  <c r="V6" i="2"/>
  <c r="S6" i="2"/>
  <c r="M6" i="2"/>
  <c r="J6" i="2"/>
  <c r="D6" i="2"/>
  <c r="V5" i="2"/>
  <c r="S5" i="2"/>
  <c r="P5" i="2"/>
  <c r="M5" i="2"/>
  <c r="G5" i="2"/>
  <c r="D5" i="2"/>
  <c r="V4" i="2"/>
  <c r="S4" i="2"/>
  <c r="P4" i="2"/>
  <c r="G4" i="2"/>
  <c r="D4" i="2"/>
  <c r="V3" i="2"/>
  <c r="S3" i="2"/>
  <c r="P3" i="2"/>
  <c r="M3" i="2"/>
  <c r="J3" i="2"/>
  <c r="G3" i="2"/>
  <c r="D3" i="2"/>
</calcChain>
</file>

<file path=xl/sharedStrings.xml><?xml version="1.0" encoding="utf-8"?>
<sst xmlns="http://schemas.openxmlformats.org/spreadsheetml/2006/main" count="387" uniqueCount="200">
  <si>
    <t>nome</t>
  </si>
  <si>
    <t>pos</t>
  </si>
  <si>
    <t>th</t>
  </si>
  <si>
    <t>stelle</t>
  </si>
  <si>
    <t>xblade</t>
  </si>
  <si>
    <t>marcojk</t>
  </si>
  <si>
    <t>dado</t>
  </si>
  <si>
    <t>bigmc</t>
  </si>
  <si>
    <t>luigi01</t>
  </si>
  <si>
    <t>12 13</t>
  </si>
  <si>
    <t>piegian99</t>
  </si>
  <si>
    <t>luigi</t>
  </si>
  <si>
    <t>stentaa</t>
  </si>
  <si>
    <t>leo</t>
  </si>
  <si>
    <t>cleopatra</t>
  </si>
  <si>
    <t>11 12</t>
  </si>
  <si>
    <t>haha</t>
  </si>
  <si>
    <t>hikarinorob</t>
  </si>
  <si>
    <t>brazo</t>
  </si>
  <si>
    <t>roberta</t>
  </si>
  <si>
    <t>giosan</t>
  </si>
  <si>
    <t>hampones</t>
  </si>
  <si>
    <t>serra008</t>
  </si>
  <si>
    <t>dux</t>
  </si>
  <si>
    <t>luxor</t>
  </si>
  <si>
    <t>lakaka</t>
  </si>
  <si>
    <t>buffxbow</t>
  </si>
  <si>
    <t>floky</t>
  </si>
  <si>
    <t>robbycv</t>
  </si>
  <si>
    <t>juan falco</t>
  </si>
  <si>
    <t>pigiamone</t>
  </si>
  <si>
    <t>lokoss</t>
  </si>
  <si>
    <t>thanos</t>
  </si>
  <si>
    <t>maikol</t>
  </si>
  <si>
    <t>dio animale</t>
  </si>
  <si>
    <t>10 11</t>
  </si>
  <si>
    <t>simone</t>
  </si>
  <si>
    <t>attacco basso</t>
  </si>
  <si>
    <t>attacco pessimo</t>
  </si>
  <si>
    <t>no attacco</t>
  </si>
  <si>
    <t>assegnazione forzata</t>
  </si>
  <si>
    <t>marcojk007</t>
  </si>
  <si>
    <t>chabby</t>
  </si>
  <si>
    <t>zombra</t>
  </si>
  <si>
    <t>buff-x-bow</t>
  </si>
  <si>
    <t>pigiamone99</t>
  </si>
  <si>
    <t>d 011</t>
  </si>
  <si>
    <t>sono io lakaka</t>
  </si>
  <si>
    <t>sidcu</t>
  </si>
  <si>
    <t>18+ pos</t>
  </si>
  <si>
    <t>kakko garau</t>
  </si>
  <si>
    <t>serena</t>
  </si>
  <si>
    <t>di gio</t>
  </si>
  <si>
    <t>heloo</t>
  </si>
  <si>
    <t xml:space="preserve"> attacco ok</t>
  </si>
  <si>
    <t>ottimo attacco</t>
  </si>
  <si>
    <t>attacco meh</t>
  </si>
  <si>
    <t>CWL2</t>
  </si>
  <si>
    <t>maikol_lix</t>
  </si>
  <si>
    <t>gionny</t>
  </si>
  <si>
    <t>ajejebrazorf</t>
  </si>
  <si>
    <t>dela</t>
  </si>
  <si>
    <t>edododo</t>
  </si>
  <si>
    <t>nik</t>
  </si>
  <si>
    <t>buff x bow</t>
  </si>
  <si>
    <t>christian</t>
  </si>
  <si>
    <t>fabio</t>
  </si>
  <si>
    <t>daniele</t>
  </si>
  <si>
    <t>serra</t>
  </si>
  <si>
    <t>federico99</t>
  </si>
  <si>
    <t>lord pucci</t>
  </si>
  <si>
    <t>NAME</t>
  </si>
  <si>
    <t>ATK SKIP</t>
  </si>
  <si>
    <t>ZERO WAR  ATK</t>
  </si>
  <si>
    <t>TOT WARS</t>
  </si>
  <si>
    <t>TOT STARS</t>
  </si>
  <si>
    <t>AVG STAR</t>
  </si>
  <si>
    <t>WAR-1 (1)</t>
  </si>
  <si>
    <t>WAR-1 (2)</t>
  </si>
  <si>
    <t>WAR-2 (1)</t>
  </si>
  <si>
    <t>WAR-2 (2)</t>
  </si>
  <si>
    <t>WAR-3 (1)</t>
  </si>
  <si>
    <t>WAR-3 (2)</t>
  </si>
  <si>
    <t>Colonna17</t>
  </si>
  <si>
    <t>Colonna18</t>
  </si>
  <si>
    <t>Colonna19</t>
  </si>
  <si>
    <t>Colonna20</t>
  </si>
  <si>
    <t>Colonna21</t>
  </si>
  <si>
    <t>Colonna22</t>
  </si>
  <si>
    <t>Colonna23</t>
  </si>
  <si>
    <t>Colonna24</t>
  </si>
  <si>
    <t>Colonna25</t>
  </si>
  <si>
    <t>Colonna26</t>
  </si>
  <si>
    <t>Colonna27</t>
  </si>
  <si>
    <t>Colonna28</t>
  </si>
  <si>
    <t>Colonna29</t>
  </si>
  <si>
    <t>Colonna30</t>
  </si>
  <si>
    <t>Colonna31</t>
  </si>
  <si>
    <t>Colonna32</t>
  </si>
  <si>
    <t>Colonna33</t>
  </si>
  <si>
    <t>Colonna34</t>
  </si>
  <si>
    <t>Colonna35</t>
  </si>
  <si>
    <t>Colonna36</t>
  </si>
  <si>
    <t>Colonna37</t>
  </si>
  <si>
    <t>Colonna38</t>
  </si>
  <si>
    <t>Colonna39</t>
  </si>
  <si>
    <t>Colonna40</t>
  </si>
  <si>
    <t>Colonna41</t>
  </si>
  <si>
    <t>Colonna42</t>
  </si>
  <si>
    <t>Colonna43</t>
  </si>
  <si>
    <t>Colonna44</t>
  </si>
  <si>
    <t>Colonna45</t>
  </si>
  <si>
    <t>Colonna46</t>
  </si>
  <si>
    <t>Colonna47</t>
  </si>
  <si>
    <t>Colonna48</t>
  </si>
  <si>
    <t>Colonna49</t>
  </si>
  <si>
    <t>Colonna50</t>
  </si>
  <si>
    <t>Colonna51</t>
  </si>
  <si>
    <t>Colonna52</t>
  </si>
  <si>
    <t>Colonna53</t>
  </si>
  <si>
    <t>Colonna54</t>
  </si>
  <si>
    <t>Colonna55</t>
  </si>
  <si>
    <t>Colonna56</t>
  </si>
  <si>
    <t>Colonna57</t>
  </si>
  <si>
    <t>Colonna58</t>
  </si>
  <si>
    <t>Colonna59</t>
  </si>
  <si>
    <t>Colonna60</t>
  </si>
  <si>
    <t>Colonna61</t>
  </si>
  <si>
    <t>Colonna62</t>
  </si>
  <si>
    <t>Colonna63</t>
  </si>
  <si>
    <t>Colonna64</t>
  </si>
  <si>
    <t>Colonna65</t>
  </si>
  <si>
    <t>Colonna66</t>
  </si>
  <si>
    <t>Colonna67</t>
  </si>
  <si>
    <t>Colonna68</t>
  </si>
  <si>
    <t>Colonna69</t>
  </si>
  <si>
    <t>Colonna70</t>
  </si>
  <si>
    <t>Colonna71</t>
  </si>
  <si>
    <t>Colonna72</t>
  </si>
  <si>
    <t>Colonna73</t>
  </si>
  <si>
    <t>Colonna74</t>
  </si>
  <si>
    <t>Colonna75</t>
  </si>
  <si>
    <t>Colonna76</t>
  </si>
  <si>
    <t>Colonna77</t>
  </si>
  <si>
    <t>Colonna78</t>
  </si>
  <si>
    <t>Colonna79</t>
  </si>
  <si>
    <t>Colonna80</t>
  </si>
  <si>
    <t>Colonna81</t>
  </si>
  <si>
    <t>Colonna82</t>
  </si>
  <si>
    <t>Colonna83</t>
  </si>
  <si>
    <t>Colonna84</t>
  </si>
  <si>
    <t>Colonna85</t>
  </si>
  <si>
    <t>Colonna86</t>
  </si>
  <si>
    <t>Colonna87</t>
  </si>
  <si>
    <t>SKIP</t>
  </si>
  <si>
    <t>Luxor</t>
  </si>
  <si>
    <t>sidcu js</t>
  </si>
  <si>
    <t>ER DANDI 1927</t>
  </si>
  <si>
    <t>Luigi</t>
  </si>
  <si>
    <t>RobbyCV</t>
  </si>
  <si>
    <t>Alaa</t>
  </si>
  <si>
    <t>buff x-bow</t>
  </si>
  <si>
    <t>CARFI</t>
  </si>
  <si>
    <t>Chabby</t>
  </si>
  <si>
    <t>Cleopatra</t>
  </si>
  <si>
    <t>D 011</t>
  </si>
  <si>
    <t>dux104</t>
  </si>
  <si>
    <t>EdoDodo</t>
  </si>
  <si>
    <t>Floky23</t>
  </si>
  <si>
    <t>gh</t>
  </si>
  <si>
    <t>GiornoBrando</t>
  </si>
  <si>
    <t>king</t>
  </si>
  <si>
    <t>LELE11GAM3R</t>
  </si>
  <si>
    <t>Matty7_</t>
  </si>
  <si>
    <t>P.E.K.K.A</t>
  </si>
  <si>
    <t>R1cky_boffo</t>
  </si>
  <si>
    <t>Roberta</t>
  </si>
  <si>
    <t>Rosario</t>
  </si>
  <si>
    <t>shark</t>
  </si>
  <si>
    <t>Sub.WayGud</t>
  </si>
  <si>
    <t>SubOhm</t>
  </si>
  <si>
    <t>th4nos</t>
  </si>
  <si>
    <t>Valh</t>
  </si>
  <si>
    <t>Brazo</t>
  </si>
  <si>
    <t>Simone</t>
  </si>
  <si>
    <t>Stentaaa</t>
  </si>
  <si>
    <t>xbladze</t>
  </si>
  <si>
    <t>BigMc23</t>
  </si>
  <si>
    <t>HikariNoRob</t>
  </si>
  <si>
    <t>Robby</t>
  </si>
  <si>
    <t>Leo</t>
  </si>
  <si>
    <t>Giosan</t>
  </si>
  <si>
    <t>Omar</t>
  </si>
  <si>
    <t>Staenta</t>
  </si>
  <si>
    <t>Dado</t>
  </si>
  <si>
    <t>Xblade</t>
  </si>
  <si>
    <t>WAR-4 (1)</t>
  </si>
  <si>
    <t>WAR-4 (2)</t>
  </si>
  <si>
    <t>WAR-5 (1)</t>
  </si>
  <si>
    <t>WAR-5 (2)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</si>
</sst>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95">
    <xf numFmtId="0" fontId="0" fillId="0" borderId="0" xfId="0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2" xfId="0" applyFill="1" applyBorder="1" applyAlignment="1">
      <alignment horizontal="center"/>
    </xf>
    <xf numFmtId="0" fontId="0" fillId="2" borderId="3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4" borderId="1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2" xfId="0" applyFill="1" applyBorder="1" applyAlignment="1">
      <alignment horizontal="center"/>
    </xf>
    <xf numFmtId="17" fontId="0" fillId="0" borderId="0" xfId="0" applyNumberFormat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0" borderId="5" xfId="0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9" borderId="0" xfId="0" applyFill="1" applyAlignment="1">
      <alignment horizontal="left"/>
    </xf>
    <xf numFmtId="0" fontId="0" fillId="6" borderId="1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2" borderId="4" xfId="0" applyFill="1" applyBorder="1" applyAlignment="1">
      <alignment horizontal="center" vertical="top"/>
    </xf>
    <xf numFmtId="0" fontId="0" fillId="2" borderId="3" xfId="0" applyFill="1" applyBorder="1" applyAlignment="1">
      <alignment horizontal="center" vertical="top"/>
    </xf>
    <xf numFmtId="0" fontId="0" fillId="2" borderId="5" xfId="0" applyFill="1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8" borderId="5" xfId="0" applyFill="1" applyBorder="1" applyAlignment="1">
      <alignment horizontal="center" vertical="top"/>
    </xf>
    <xf numFmtId="0" fontId="0" fillId="7" borderId="5" xfId="0" applyFill="1" applyBorder="1" applyAlignment="1">
      <alignment horizontal="center" vertical="top"/>
    </xf>
    <xf numFmtId="0" fontId="0" fillId="0" borderId="5" xfId="0" applyBorder="1" applyAlignment="1">
      <alignment horizontal="center" vertical="top"/>
    </xf>
    <xf numFmtId="0" fontId="0" fillId="6" borderId="5" xfId="0" applyFill="1" applyBorder="1" applyAlignment="1">
      <alignment horizontal="center" vertical="top"/>
    </xf>
    <xf numFmtId="0" fontId="0" fillId="3" borderId="5" xfId="0" applyFill="1" applyBorder="1" applyAlignment="1">
      <alignment horizontal="center" vertical="top"/>
    </xf>
    <xf numFmtId="0" fontId="0" fillId="5" borderId="5" xfId="0" applyFill="1" applyBorder="1" applyAlignment="1">
      <alignment horizontal="center" vertical="top"/>
    </xf>
    <xf numFmtId="0" fontId="0" fillId="9" borderId="5" xfId="0" applyFill="1" applyBorder="1" applyAlignment="1">
      <alignment horizontal="center" vertical="top"/>
    </xf>
    <xf numFmtId="0" fontId="0" fillId="7" borderId="0" xfId="0" applyFill="1" applyAlignment="1">
      <alignment horizontal="center" vertical="top"/>
    </xf>
    <xf numFmtId="0" fontId="0" fillId="7" borderId="1" xfId="0" applyFill="1" applyBorder="1" applyAlignment="1">
      <alignment horizontal="center" vertical="top"/>
    </xf>
    <xf numFmtId="0" fontId="0" fillId="6" borderId="2" xfId="0" applyFill="1" applyBorder="1" applyAlignment="1">
      <alignment horizontal="center" vertical="top"/>
    </xf>
    <xf numFmtId="0" fontId="0" fillId="9" borderId="1" xfId="0" applyFill="1" applyBorder="1" applyAlignment="1">
      <alignment horizontal="center" vertical="top"/>
    </xf>
    <xf numFmtId="0" fontId="0" fillId="5" borderId="2" xfId="0" applyFill="1" applyBorder="1" applyAlignment="1">
      <alignment horizontal="center" vertical="top"/>
    </xf>
    <xf numFmtId="0" fontId="0" fillId="3" borderId="0" xfId="0" applyFill="1" applyAlignment="1">
      <alignment horizontal="center" vertical="top"/>
    </xf>
    <xf numFmtId="0" fontId="0" fillId="10" borderId="1" xfId="0" applyFill="1" applyBorder="1" applyAlignment="1">
      <alignment horizontal="center" vertical="top"/>
    </xf>
    <xf numFmtId="0" fontId="0" fillId="10" borderId="0" xfId="0" applyFill="1" applyAlignment="1">
      <alignment horizontal="center" vertical="top"/>
    </xf>
    <xf numFmtId="0" fontId="0" fillId="10" borderId="2" xfId="0" applyFill="1" applyBorder="1" applyAlignment="1">
      <alignment horizontal="center" vertical="top"/>
    </xf>
    <xf numFmtId="0" fontId="0" fillId="10" borderId="1" xfId="0" quotePrefix="1" applyFill="1" applyBorder="1" applyAlignment="1">
      <alignment horizontal="center" vertical="top"/>
    </xf>
    <xf numFmtId="0" fontId="0" fillId="6" borderId="0" xfId="0" applyFill="1" applyAlignment="1">
      <alignment horizontal="center" vertical="top"/>
    </xf>
    <xf numFmtId="0" fontId="0" fillId="11" borderId="6" xfId="0" applyFill="1" applyBorder="1" applyAlignment="1">
      <alignment horizontal="center" vertical="top"/>
    </xf>
    <xf numFmtId="0" fontId="0" fillId="9" borderId="0" xfId="0" applyFill="1" applyAlignment="1">
      <alignment horizontal="center" vertical="top"/>
    </xf>
    <xf numFmtId="0" fontId="0" fillId="12" borderId="0" xfId="0" applyFill="1" applyAlignment="1">
      <alignment horizontal="center" vertical="top"/>
    </xf>
    <xf numFmtId="0" fontId="0" fillId="3" borderId="2" xfId="0" applyFill="1" applyBorder="1" applyAlignment="1">
      <alignment horizontal="center" vertical="top"/>
    </xf>
    <xf numFmtId="0" fontId="0" fillId="13" borderId="1" xfId="0" applyFill="1" applyBorder="1" applyAlignment="1">
      <alignment horizontal="center" vertical="top"/>
    </xf>
    <xf numFmtId="0" fontId="0" fillId="13" borderId="0" xfId="0" applyFill="1" applyAlignment="1">
      <alignment horizontal="center" vertical="top"/>
    </xf>
    <xf numFmtId="0" fontId="0" fillId="13" borderId="2" xfId="0" applyFill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14" borderId="0" xfId="0" applyFill="1" applyAlignment="1">
      <alignment horizontal="center" vertical="top"/>
    </xf>
    <xf numFmtId="0" fontId="0" fillId="14" borderId="2" xfId="0" applyFill="1" applyBorder="1" applyAlignment="1">
      <alignment horizontal="center" vertical="top"/>
    </xf>
    <xf numFmtId="0" fontId="0" fillId="14" borderId="5" xfId="0" applyFill="1" applyBorder="1" applyAlignment="1">
      <alignment horizontal="center" vertical="top"/>
    </xf>
    <xf numFmtId="0" fontId="0" fillId="8" borderId="4" xfId="0" applyFill="1" applyBorder="1" applyAlignment="1">
      <alignment horizontal="center" vertical="top"/>
    </xf>
    <xf numFmtId="0" fontId="0" fillId="8" borderId="6" xfId="0" applyFill="1" applyBorder="1" applyAlignment="1">
      <alignment horizontal="center" vertical="top"/>
    </xf>
    <xf numFmtId="0" fontId="0" fillId="12" borderId="1" xfId="0" applyFill="1" applyBorder="1" applyAlignment="1">
      <alignment horizontal="center" vertical="top"/>
    </xf>
    <xf numFmtId="0" fontId="0" fillId="12" borderId="2" xfId="0" applyFill="1" applyBorder="1" applyAlignment="1">
      <alignment horizontal="center" vertical="top"/>
    </xf>
    <xf numFmtId="0" fontId="0" fillId="8" borderId="0" xfId="0" applyFill="1" applyAlignment="1">
      <alignment horizontal="center" vertical="center"/>
    </xf>
    <xf numFmtId="0" fontId="3" fillId="0" borderId="2" xfId="0" applyFont="1" applyBorder="1" applyAlignment="1">
      <alignment horizontal="center" vertical="top"/>
    </xf>
    <xf numFmtId="0" fontId="0" fillId="0" borderId="8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15" borderId="7" xfId="0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9" borderId="7" xfId="0" applyFill="1" applyBorder="1" applyAlignment="1">
      <alignment horizontal="center"/>
    </xf>
    <xf numFmtId="0" fontId="0" fillId="15" borderId="7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2" fillId="11" borderId="6" xfId="0" applyFont="1" applyFill="1" applyBorder="1" applyAlignment="1">
      <alignment horizontal="center" vertical="top"/>
    </xf>
    <xf numFmtId="0" fontId="0" fillId="0" borderId="4" xfId="0" applyBorder="1"/>
    <xf numFmtId="0" fontId="0" fillId="0" borderId="5" xfId="0" applyBorder="1"/>
    <xf numFmtId="0" fontId="0" fillId="2" borderId="6" xfId="0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</cellXfs>
  <cellStyles count="1">
    <cellStyle name="Normale" xfId="0" builtinId="0"/>
  </cellStyles>
  <dxfs count="89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a2" displayName="Tabella2" ref="A1:CI51" totalsRowShown="0" headerRowDxfId="88" dataDxfId="87">
  <autoFilter ref="A1:CI51" xr:uid="{00000000-0009-0000-0100-000001000000}"/>
  <sortState xmlns:xlrd2="http://schemas.microsoft.com/office/spreadsheetml/2017/richdata2" ref="A2:CI51">
    <sortCondition descending="1" ref="O1:O51"/>
  </sortState>
  <tableColumns count="87">
    <tableColumn id="1" xr3:uid="{00000000-0010-0000-0000-000001000000}" name="NAME" dataDxfId="86"/>
    <tableColumn id="2" xr3:uid="{00000000-0010-0000-0000-000002000000}" name="ATK SKIP" dataDxfId="85"/>
    <tableColumn id="3" xr3:uid="{00000000-0010-0000-0000-000003000000}" name="ZERO WAR  ATK" dataDxfId="84"/>
    <tableColumn id="4" xr3:uid="{00000000-0010-0000-0000-000004000000}" name="TOT WARS" dataDxfId="83"/>
    <tableColumn id="5" xr3:uid="{00000000-0010-0000-0000-000005000000}" name="TOT STARS" dataDxfId="82">
      <calculatedColumnFormula>SUM(G2:M2)</calculatedColumnFormula>
    </tableColumn>
    <tableColumn id="6" xr3:uid="{00000000-0010-0000-0000-000006000000}" name="AVG STAR" dataDxfId="81">
      <calculatedColumnFormula>AVERAGE(G2:M2)</calculatedColumnFormula>
    </tableColumn>
    <tableColumn id="7" xr3:uid="{00000000-0010-0000-0000-000007000000}" name="WAR-1 (1)" dataDxfId="80"/>
    <tableColumn id="8" xr3:uid="{00000000-0010-0000-0000-000008000000}" name="WAR-1 (2)" dataDxfId="79"/>
    <tableColumn id="9" xr3:uid="{00000000-0010-0000-0000-000009000000}" name="WAR-2 (1)" dataDxfId="78"/>
    <tableColumn id="10" xr3:uid="{00000000-0010-0000-0000-00000A000000}" name="WAR-2 (2)" dataDxfId="77"/>
    <tableColumn id="11" xr3:uid="{00000000-0010-0000-0000-00000B000000}" name="WAR-3 (1)" dataDxfId="76"/>
    <tableColumn id="12" xr3:uid="{00000000-0010-0000-0000-00000C000000}" name="WAR-3 (2)" dataDxfId="75"/>
    <tableColumn id="13" xr3:uid="{00000000-0010-0000-0000-00000D000000}" name="WAR-4 (1)" dataDxfId="74"/>
    <tableColumn id="14" xr3:uid="{00000000-0010-0000-0000-00000E000000}" name="WAR-4 (2)" dataDxfId="73"/>
    <tableColumn id="15" xr3:uid="{00000000-0010-0000-0000-00000F000000}" name="WAR-5 (1)" dataDxfId="72"/>
    <tableColumn id="16" xr3:uid="{00000000-0010-0000-0000-000010000000}" name="WAR-5 (2)" dataDxfId="71"/>
    <tableColumn id="17" xr3:uid="{00000000-0010-0000-0000-000011000000}" name="Colonna17" dataDxfId="70"/>
    <tableColumn id="18" xr3:uid="{00000000-0010-0000-0000-000012000000}" name="Colonna18" dataDxfId="69"/>
    <tableColumn id="19" xr3:uid="{00000000-0010-0000-0000-000013000000}" name="Colonna19" dataDxfId="68"/>
    <tableColumn id="20" xr3:uid="{00000000-0010-0000-0000-000014000000}" name="Colonna20" dataDxfId="67"/>
    <tableColumn id="21" xr3:uid="{00000000-0010-0000-0000-000015000000}" name="Colonna21" dataDxfId="66"/>
    <tableColumn id="22" xr3:uid="{00000000-0010-0000-0000-000016000000}" name="Colonna22" dataDxfId="65"/>
    <tableColumn id="23" xr3:uid="{00000000-0010-0000-0000-000017000000}" name="Colonna23" dataDxfId="64"/>
    <tableColumn id="24" xr3:uid="{00000000-0010-0000-0000-000018000000}" name="Colonna24" dataDxfId="63"/>
    <tableColumn id="25" xr3:uid="{00000000-0010-0000-0000-000019000000}" name="Colonna25" dataDxfId="62"/>
    <tableColumn id="26" xr3:uid="{00000000-0010-0000-0000-00001A000000}" name="Colonna26" dataDxfId="61"/>
    <tableColumn id="27" xr3:uid="{00000000-0010-0000-0000-00001B000000}" name="Colonna27" dataDxfId="60"/>
    <tableColumn id="28" xr3:uid="{00000000-0010-0000-0000-00001C000000}" name="Colonna28" dataDxfId="59"/>
    <tableColumn id="29" xr3:uid="{00000000-0010-0000-0000-00001D000000}" name="Colonna29" dataDxfId="58"/>
    <tableColumn id="30" xr3:uid="{00000000-0010-0000-0000-00001E000000}" name="Colonna30" dataDxfId="57"/>
    <tableColumn id="31" xr3:uid="{00000000-0010-0000-0000-00001F000000}" name="Colonna31" dataDxfId="56"/>
    <tableColumn id="32" xr3:uid="{00000000-0010-0000-0000-000020000000}" name="Colonna32" dataDxfId="55"/>
    <tableColumn id="33" xr3:uid="{00000000-0010-0000-0000-000021000000}" name="Colonna33" dataDxfId="54"/>
    <tableColumn id="34" xr3:uid="{00000000-0010-0000-0000-000022000000}" name="Colonna34" dataDxfId="53"/>
    <tableColumn id="35" xr3:uid="{00000000-0010-0000-0000-000023000000}" name="Colonna35" dataDxfId="52"/>
    <tableColumn id="36" xr3:uid="{00000000-0010-0000-0000-000024000000}" name="Colonna36" dataDxfId="51"/>
    <tableColumn id="37" xr3:uid="{00000000-0010-0000-0000-000025000000}" name="Colonna37" dataDxfId="50"/>
    <tableColumn id="38" xr3:uid="{00000000-0010-0000-0000-000026000000}" name="Colonna38" dataDxfId="49"/>
    <tableColumn id="39" xr3:uid="{00000000-0010-0000-0000-000027000000}" name="Colonna39" dataDxfId="48"/>
    <tableColumn id="40" xr3:uid="{00000000-0010-0000-0000-000028000000}" name="Colonna40" dataDxfId="47"/>
    <tableColumn id="41" xr3:uid="{00000000-0010-0000-0000-000029000000}" name="Colonna41" dataDxfId="46"/>
    <tableColumn id="42" xr3:uid="{00000000-0010-0000-0000-00002A000000}" name="Colonna42" dataDxfId="45"/>
    <tableColumn id="43" xr3:uid="{00000000-0010-0000-0000-00002B000000}" name="Colonna43" dataDxfId="44"/>
    <tableColumn id="44" xr3:uid="{00000000-0010-0000-0000-00002C000000}" name="Colonna44" dataDxfId="43"/>
    <tableColumn id="45" xr3:uid="{00000000-0010-0000-0000-00002D000000}" name="Colonna45" dataDxfId="42"/>
    <tableColumn id="46" xr3:uid="{00000000-0010-0000-0000-00002E000000}" name="Colonna46" dataDxfId="41"/>
    <tableColumn id="47" xr3:uid="{00000000-0010-0000-0000-00002F000000}" name="Colonna47" dataDxfId="40"/>
    <tableColumn id="48" xr3:uid="{00000000-0010-0000-0000-000030000000}" name="Colonna48" dataDxfId="39"/>
    <tableColumn id="49" xr3:uid="{00000000-0010-0000-0000-000031000000}" name="Colonna49" dataDxfId="38"/>
    <tableColumn id="50" xr3:uid="{00000000-0010-0000-0000-000032000000}" name="Colonna50" dataDxfId="37"/>
    <tableColumn id="51" xr3:uid="{00000000-0010-0000-0000-000033000000}" name="Colonna51" dataDxfId="36"/>
    <tableColumn id="52" xr3:uid="{00000000-0010-0000-0000-000034000000}" name="Colonna52" dataDxfId="35"/>
    <tableColumn id="53" xr3:uid="{00000000-0010-0000-0000-000035000000}" name="Colonna53" dataDxfId="34"/>
    <tableColumn id="54" xr3:uid="{00000000-0010-0000-0000-000036000000}" name="Colonna54" dataDxfId="33"/>
    <tableColumn id="55" xr3:uid="{00000000-0010-0000-0000-000037000000}" name="Colonna55" dataDxfId="32"/>
    <tableColumn id="56" xr3:uid="{00000000-0010-0000-0000-000038000000}" name="Colonna56" dataDxfId="31"/>
    <tableColumn id="57" xr3:uid="{00000000-0010-0000-0000-000039000000}" name="Colonna57" dataDxfId="30"/>
    <tableColumn id="58" xr3:uid="{00000000-0010-0000-0000-00003A000000}" name="Colonna58" dataDxfId="29"/>
    <tableColumn id="59" xr3:uid="{00000000-0010-0000-0000-00003B000000}" name="Colonna59" dataDxfId="28"/>
    <tableColumn id="60" xr3:uid="{00000000-0010-0000-0000-00003C000000}" name="Colonna60" dataDxfId="27"/>
    <tableColumn id="61" xr3:uid="{00000000-0010-0000-0000-00003D000000}" name="Colonna61" dataDxfId="26"/>
    <tableColumn id="62" xr3:uid="{00000000-0010-0000-0000-00003E000000}" name="Colonna62" dataDxfId="25"/>
    <tableColumn id="63" xr3:uid="{00000000-0010-0000-0000-00003F000000}" name="Colonna63" dataDxfId="24"/>
    <tableColumn id="64" xr3:uid="{00000000-0010-0000-0000-000040000000}" name="Colonna64" dataDxfId="23"/>
    <tableColumn id="65" xr3:uid="{00000000-0010-0000-0000-000041000000}" name="Colonna65" dataDxfId="22"/>
    <tableColumn id="66" xr3:uid="{00000000-0010-0000-0000-000042000000}" name="Colonna66" dataDxfId="21"/>
    <tableColumn id="67" xr3:uid="{00000000-0010-0000-0000-000043000000}" name="Colonna67" dataDxfId="20"/>
    <tableColumn id="68" xr3:uid="{00000000-0010-0000-0000-000044000000}" name="Colonna68" dataDxfId="19"/>
    <tableColumn id="69" xr3:uid="{00000000-0010-0000-0000-000045000000}" name="Colonna69" dataDxfId="18"/>
    <tableColumn id="70" xr3:uid="{00000000-0010-0000-0000-000046000000}" name="Colonna70" dataDxfId="17"/>
    <tableColumn id="71" xr3:uid="{00000000-0010-0000-0000-000047000000}" name="Colonna71" dataDxfId="16"/>
    <tableColumn id="72" xr3:uid="{00000000-0010-0000-0000-000048000000}" name="Colonna72" dataDxfId="15"/>
    <tableColumn id="73" xr3:uid="{00000000-0010-0000-0000-000049000000}" name="Colonna73" dataDxfId="14"/>
    <tableColumn id="74" xr3:uid="{00000000-0010-0000-0000-00004A000000}" name="Colonna74" dataDxfId="13"/>
    <tableColumn id="75" xr3:uid="{00000000-0010-0000-0000-00004B000000}" name="Colonna75" dataDxfId="12"/>
    <tableColumn id="76" xr3:uid="{00000000-0010-0000-0000-00004C000000}" name="Colonna76" dataDxfId="11"/>
    <tableColumn id="77" xr3:uid="{00000000-0010-0000-0000-00004D000000}" name="Colonna77" dataDxfId="10"/>
    <tableColumn id="78" xr3:uid="{00000000-0010-0000-0000-00004E000000}" name="Colonna78" dataDxfId="9"/>
    <tableColumn id="79" xr3:uid="{00000000-0010-0000-0000-00004F000000}" name="Colonna79" dataDxfId="8"/>
    <tableColumn id="80" xr3:uid="{00000000-0010-0000-0000-000050000000}" name="Colonna80" dataDxfId="7"/>
    <tableColumn id="81" xr3:uid="{00000000-0010-0000-0000-000051000000}" name="Colonna81" dataDxfId="6"/>
    <tableColumn id="82" xr3:uid="{00000000-0010-0000-0000-000052000000}" name="Colonna82" dataDxfId="5"/>
    <tableColumn id="83" xr3:uid="{00000000-0010-0000-0000-000053000000}" name="Colonna83" dataDxfId="4"/>
    <tableColumn id="84" xr3:uid="{00000000-0010-0000-0000-000054000000}" name="Colonna84" dataDxfId="3"/>
    <tableColumn id="85" xr3:uid="{00000000-0010-0000-0000-000055000000}" name="Colonna85" dataDxfId="2"/>
    <tableColumn id="86" xr3:uid="{00000000-0010-0000-0000-000056000000}" name="Colonna86" dataDxfId="1"/>
    <tableColumn id="87" xr3:uid="{00000000-0010-0000-0000-000057000000}" name="Colonna87" dataDxfId="0"/>
  </tableColumns>
  <tableStyleInfo name="TableStyleMedium17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7"/>
  <sheetViews>
    <sheetView workbookViewId="0">
      <selection activeCell="E30" sqref="E30"/>
    </sheetView>
  </sheetViews>
  <sheetFormatPr defaultColWidth="9.109375" defaultRowHeight="14.4" x14ac:dyDescent="0.3"/>
  <cols>
    <col min="1" max="1" width="9.109375" style="4" customWidth="1"/>
    <col min="2" max="2" width="23.109375" style="11" customWidth="1"/>
    <col min="3" max="3" width="7.88671875" style="5" customWidth="1"/>
    <col min="4" max="4" width="5.6640625" style="4" customWidth="1"/>
    <col min="5" max="5" width="8.33203125" style="6" customWidth="1"/>
    <col min="6" max="6" width="7.88671875" style="5" customWidth="1"/>
    <col min="7" max="7" width="5.6640625" style="4" customWidth="1"/>
    <col min="8" max="8" width="8.33203125" style="6" customWidth="1"/>
    <col min="9" max="9" width="7.88671875" style="5" customWidth="1"/>
    <col min="10" max="10" width="5.6640625" style="4" customWidth="1"/>
    <col min="11" max="11" width="8.33203125" style="6" customWidth="1"/>
    <col min="12" max="12" width="7.88671875" style="5" customWidth="1"/>
    <col min="13" max="13" width="5.6640625" style="4" customWidth="1"/>
    <col min="14" max="14" width="8.33203125" style="6" customWidth="1"/>
    <col min="15" max="15" width="7.88671875" style="5" customWidth="1"/>
    <col min="16" max="16" width="5.6640625" style="4" customWidth="1"/>
    <col min="17" max="17" width="8.33203125" style="6" customWidth="1"/>
    <col min="18" max="18" width="7.88671875" style="5" customWidth="1"/>
    <col min="19" max="19" width="5.6640625" style="4" customWidth="1"/>
    <col min="20" max="20" width="8.33203125" style="6" customWidth="1"/>
    <col min="21" max="21" width="7.88671875" style="5" customWidth="1"/>
    <col min="22" max="22" width="5.6640625" style="4" customWidth="1"/>
    <col min="23" max="23" width="8.33203125" style="6" customWidth="1"/>
    <col min="24" max="24" width="7.88671875" style="5" customWidth="1"/>
    <col min="25" max="25" width="5.6640625" style="4" customWidth="1"/>
    <col min="26" max="26" width="8.33203125" style="6" customWidth="1"/>
    <col min="27" max="27" width="7.88671875" style="5" customWidth="1"/>
    <col min="28" max="28" width="5.6640625" style="4" customWidth="1"/>
    <col min="29" max="29" width="8.33203125" style="6" customWidth="1"/>
    <col min="30" max="30" width="9.109375" style="4" customWidth="1"/>
    <col min="31" max="16384" width="9.109375" style="4"/>
  </cols>
  <sheetData>
    <row r="1" spans="1:35" s="2" customFormat="1" ht="15.75" customHeight="1" thickBot="1" x14ac:dyDescent="0.35">
      <c r="B1" s="10" t="s">
        <v>0</v>
      </c>
      <c r="C1" s="1" t="s">
        <v>1</v>
      </c>
      <c r="D1" s="2" t="s">
        <v>2</v>
      </c>
      <c r="E1" s="3" t="s">
        <v>3</v>
      </c>
      <c r="F1" s="1" t="s">
        <v>1</v>
      </c>
      <c r="G1" s="2" t="s">
        <v>2</v>
      </c>
      <c r="H1" s="3" t="s">
        <v>3</v>
      </c>
      <c r="I1" s="1" t="s">
        <v>1</v>
      </c>
      <c r="J1" s="2" t="s">
        <v>2</v>
      </c>
      <c r="K1" s="3" t="s">
        <v>3</v>
      </c>
      <c r="L1" s="1" t="s">
        <v>1</v>
      </c>
      <c r="M1" s="2" t="s">
        <v>2</v>
      </c>
      <c r="N1" s="3" t="s">
        <v>3</v>
      </c>
      <c r="O1" s="1" t="s">
        <v>1</v>
      </c>
      <c r="P1" s="2" t="s">
        <v>2</v>
      </c>
      <c r="Q1" s="3" t="s">
        <v>3</v>
      </c>
      <c r="R1" s="1" t="s">
        <v>1</v>
      </c>
      <c r="S1" s="2" t="s">
        <v>2</v>
      </c>
      <c r="T1" s="3" t="s">
        <v>3</v>
      </c>
      <c r="U1" s="1" t="s">
        <v>1</v>
      </c>
      <c r="V1" s="2" t="s">
        <v>2</v>
      </c>
      <c r="W1" s="3" t="s">
        <v>3</v>
      </c>
      <c r="X1" s="1" t="s">
        <v>1</v>
      </c>
      <c r="Y1" s="2" t="s">
        <v>2</v>
      </c>
      <c r="Z1" s="3" t="s">
        <v>3</v>
      </c>
      <c r="AA1" s="1" t="s">
        <v>1</v>
      </c>
      <c r="AB1" s="2" t="s">
        <v>2</v>
      </c>
      <c r="AC1" s="3" t="s">
        <v>3</v>
      </c>
      <c r="AD1" s="23"/>
      <c r="AE1" s="23"/>
      <c r="AF1" s="23"/>
      <c r="AG1" s="23"/>
      <c r="AH1" s="23"/>
      <c r="AI1" s="23"/>
    </row>
    <row r="2" spans="1:35" ht="15.75" customHeight="1" thickBot="1" x14ac:dyDescent="0.35">
      <c r="A2" s="4">
        <v>16</v>
      </c>
      <c r="B2" s="27" t="s">
        <v>4</v>
      </c>
      <c r="C2" s="5">
        <v>0</v>
      </c>
      <c r="D2" s="4">
        <v>-4</v>
      </c>
      <c r="E2" s="6">
        <v>3</v>
      </c>
      <c r="F2" s="7"/>
      <c r="G2" s="8"/>
      <c r="H2" s="9"/>
      <c r="I2" s="5">
        <v>0</v>
      </c>
      <c r="J2" s="4">
        <v>0</v>
      </c>
      <c r="K2" s="6">
        <v>2</v>
      </c>
      <c r="L2" s="7"/>
      <c r="M2" s="8"/>
      <c r="N2" s="9"/>
      <c r="O2" s="7"/>
      <c r="P2" s="8"/>
      <c r="Q2" s="9"/>
      <c r="R2" s="7"/>
      <c r="S2" s="8"/>
      <c r="T2" s="9"/>
      <c r="U2" s="7"/>
      <c r="V2" s="8"/>
      <c r="W2" s="9"/>
      <c r="X2" s="7"/>
      <c r="Y2" s="8"/>
      <c r="Z2" s="9"/>
      <c r="AA2" s="7"/>
      <c r="AB2" s="8"/>
      <c r="AC2" s="9"/>
      <c r="AD2" s="23"/>
      <c r="AE2" s="23"/>
      <c r="AF2" s="23"/>
      <c r="AG2" s="23"/>
      <c r="AH2" s="23"/>
      <c r="AI2" s="23"/>
    </row>
    <row r="3" spans="1:35" ht="15.75" customHeight="1" thickBot="1" x14ac:dyDescent="0.35">
      <c r="A3" s="4">
        <v>15</v>
      </c>
      <c r="B3" s="27" t="s">
        <v>5</v>
      </c>
      <c r="C3" s="7"/>
      <c r="D3" s="8"/>
      <c r="E3" s="9"/>
      <c r="F3" s="5">
        <v>0</v>
      </c>
      <c r="G3" s="4">
        <v>2</v>
      </c>
      <c r="H3" s="6">
        <v>2</v>
      </c>
      <c r="I3" s="7"/>
      <c r="J3" s="8"/>
      <c r="K3" s="9"/>
      <c r="L3" s="7"/>
      <c r="M3" s="8"/>
      <c r="N3" s="9"/>
      <c r="O3" s="7"/>
      <c r="P3" s="8"/>
      <c r="Q3" s="9"/>
      <c r="R3" s="7"/>
      <c r="S3" s="8"/>
      <c r="T3" s="9"/>
      <c r="U3" s="7"/>
      <c r="V3" s="8"/>
      <c r="W3" s="9"/>
      <c r="X3" s="7"/>
      <c r="Y3" s="8"/>
      <c r="Z3" s="9"/>
      <c r="AA3" s="7"/>
      <c r="AB3" s="8"/>
      <c r="AC3" s="9"/>
      <c r="AD3" s="23"/>
      <c r="AE3" s="23"/>
      <c r="AF3" s="23"/>
      <c r="AG3" s="23"/>
      <c r="AH3" s="23"/>
      <c r="AI3" s="23"/>
    </row>
    <row r="4" spans="1:35" ht="15.75" customHeight="1" thickBot="1" x14ac:dyDescent="0.35">
      <c r="A4" s="4">
        <v>15</v>
      </c>
      <c r="B4" s="33" t="s">
        <v>6</v>
      </c>
      <c r="C4" s="5">
        <v>0</v>
      </c>
      <c r="D4" s="4">
        <v>-3</v>
      </c>
      <c r="E4" s="6">
        <v>3</v>
      </c>
      <c r="F4" s="5">
        <v>0</v>
      </c>
      <c r="G4" s="4">
        <v>0</v>
      </c>
      <c r="H4" s="6">
        <v>3</v>
      </c>
      <c r="I4" s="5">
        <v>0</v>
      </c>
      <c r="J4" s="4">
        <v>2</v>
      </c>
      <c r="K4" s="6">
        <v>2</v>
      </c>
      <c r="AD4" s="23"/>
      <c r="AE4" s="23"/>
      <c r="AF4" s="23"/>
      <c r="AG4" s="23"/>
      <c r="AH4" s="23"/>
      <c r="AI4" s="23"/>
    </row>
    <row r="5" spans="1:35" ht="15.75" customHeight="1" thickBot="1" x14ac:dyDescent="0.35">
      <c r="A5" s="4">
        <v>13</v>
      </c>
      <c r="B5" s="11" t="s">
        <v>7</v>
      </c>
      <c r="C5" s="5">
        <v>-1</v>
      </c>
      <c r="D5" s="4">
        <v>-2</v>
      </c>
      <c r="E5" s="6">
        <v>3</v>
      </c>
      <c r="F5" s="16">
        <v>-3</v>
      </c>
      <c r="G5" s="4">
        <v>2</v>
      </c>
      <c r="H5" s="6">
        <v>2</v>
      </c>
      <c r="I5" s="5">
        <v>-2</v>
      </c>
      <c r="J5" s="4">
        <v>2</v>
      </c>
      <c r="K5" s="6">
        <v>1</v>
      </c>
      <c r="AD5" s="23"/>
      <c r="AE5" s="23"/>
      <c r="AF5" s="23"/>
      <c r="AG5" s="23"/>
      <c r="AH5" s="23"/>
      <c r="AI5" s="23"/>
    </row>
    <row r="6" spans="1:35" ht="15.75" customHeight="1" thickBot="1" x14ac:dyDescent="0.35">
      <c r="A6" s="4">
        <v>12</v>
      </c>
      <c r="B6" s="25" t="s">
        <v>8</v>
      </c>
      <c r="C6" s="5">
        <v>2</v>
      </c>
      <c r="D6" s="4">
        <v>0</v>
      </c>
      <c r="E6" s="6">
        <v>2</v>
      </c>
      <c r="F6" s="5">
        <v>0</v>
      </c>
      <c r="G6" s="4">
        <v>3</v>
      </c>
      <c r="H6" s="6">
        <v>1</v>
      </c>
      <c r="I6" s="21">
        <v>-14</v>
      </c>
      <c r="J6" s="20">
        <v>0</v>
      </c>
      <c r="K6" s="22">
        <v>3</v>
      </c>
      <c r="L6" s="34"/>
      <c r="M6" s="35"/>
      <c r="N6" s="24"/>
      <c r="O6" s="34"/>
      <c r="P6" s="35"/>
      <c r="Q6" s="24"/>
      <c r="R6" s="34"/>
      <c r="S6" s="35"/>
      <c r="T6" s="24"/>
      <c r="U6" s="34"/>
      <c r="V6" s="35"/>
      <c r="W6" s="24"/>
      <c r="X6" s="34"/>
      <c r="Y6" s="35"/>
      <c r="Z6" s="24"/>
      <c r="AA6" s="34"/>
      <c r="AB6" s="35"/>
      <c r="AC6" s="24"/>
      <c r="AD6" s="23"/>
      <c r="AE6" s="23"/>
      <c r="AF6" s="23"/>
      <c r="AG6" s="23"/>
      <c r="AH6" s="23"/>
      <c r="AI6" s="23"/>
    </row>
    <row r="7" spans="1:35" ht="15.75" customHeight="1" thickBot="1" x14ac:dyDescent="0.35">
      <c r="A7" s="15" t="s">
        <v>9</v>
      </c>
      <c r="B7" s="33" t="s">
        <v>10</v>
      </c>
      <c r="C7" s="5">
        <v>2</v>
      </c>
      <c r="D7" s="4">
        <v>-1</v>
      </c>
      <c r="E7" s="6">
        <v>3</v>
      </c>
      <c r="F7" s="5">
        <v>0</v>
      </c>
      <c r="G7" s="4">
        <v>3</v>
      </c>
      <c r="H7" s="6">
        <v>2</v>
      </c>
      <c r="I7" s="5">
        <v>-18</v>
      </c>
      <c r="J7" s="4">
        <v>0</v>
      </c>
      <c r="K7" s="6">
        <v>2</v>
      </c>
      <c r="AD7" s="23"/>
      <c r="AE7" s="23"/>
      <c r="AF7" s="23"/>
      <c r="AG7" s="23"/>
      <c r="AH7" s="23"/>
      <c r="AI7" s="23"/>
    </row>
    <row r="8" spans="1:35" ht="15.75" customHeight="1" thickBot="1" x14ac:dyDescent="0.35">
      <c r="A8" s="4">
        <v>12</v>
      </c>
      <c r="B8" s="33" t="s">
        <v>11</v>
      </c>
      <c r="C8" s="5">
        <v>0</v>
      </c>
      <c r="D8" s="4">
        <v>-1</v>
      </c>
      <c r="E8" s="6">
        <v>3</v>
      </c>
      <c r="F8" s="16">
        <v>-2</v>
      </c>
      <c r="G8" s="4">
        <v>2</v>
      </c>
      <c r="H8" s="6">
        <v>2</v>
      </c>
      <c r="I8" s="5">
        <v>-2</v>
      </c>
      <c r="J8" s="4">
        <v>3</v>
      </c>
      <c r="K8" s="6">
        <v>1</v>
      </c>
      <c r="AD8" s="23"/>
      <c r="AE8" s="23"/>
      <c r="AF8" s="23"/>
      <c r="AG8" s="23"/>
      <c r="AH8" s="23"/>
      <c r="AI8" s="23"/>
    </row>
    <row r="9" spans="1:35" ht="15.75" customHeight="1" thickBot="1" x14ac:dyDescent="0.35">
      <c r="A9" s="4">
        <v>12</v>
      </c>
      <c r="B9" s="11" t="s">
        <v>12</v>
      </c>
      <c r="C9" s="5">
        <v>0</v>
      </c>
      <c r="D9" s="4">
        <v>-1</v>
      </c>
      <c r="E9" s="6">
        <v>3</v>
      </c>
      <c r="F9" s="5">
        <v>0</v>
      </c>
      <c r="G9" s="4">
        <v>2</v>
      </c>
      <c r="H9" s="6">
        <v>0</v>
      </c>
      <c r="I9" s="5">
        <v>-7</v>
      </c>
      <c r="J9" s="4">
        <v>1</v>
      </c>
      <c r="K9" s="6">
        <v>2</v>
      </c>
      <c r="AD9" s="23"/>
      <c r="AE9" s="23"/>
      <c r="AF9" s="23"/>
      <c r="AG9" s="23"/>
      <c r="AH9" s="23"/>
      <c r="AI9" s="23"/>
    </row>
    <row r="10" spans="1:35" ht="15.75" customHeight="1" thickBot="1" x14ac:dyDescent="0.35">
      <c r="A10" s="4">
        <v>12</v>
      </c>
      <c r="B10" s="26" t="s">
        <v>13</v>
      </c>
      <c r="C10" s="5">
        <v>0</v>
      </c>
      <c r="D10" s="4">
        <v>-1</v>
      </c>
      <c r="E10" s="6">
        <v>3</v>
      </c>
      <c r="F10" s="21">
        <v>-17</v>
      </c>
      <c r="G10" s="4">
        <v>0</v>
      </c>
      <c r="H10" s="6">
        <v>3</v>
      </c>
      <c r="I10" s="5">
        <v>-1</v>
      </c>
      <c r="J10" s="4">
        <v>1</v>
      </c>
      <c r="K10" s="6">
        <v>3</v>
      </c>
      <c r="AD10" s="23"/>
      <c r="AE10" s="23"/>
      <c r="AF10" s="23"/>
      <c r="AG10" s="23"/>
      <c r="AH10" s="23"/>
      <c r="AI10" s="23"/>
    </row>
    <row r="11" spans="1:35" ht="15.75" customHeight="1" thickBot="1" x14ac:dyDescent="0.35">
      <c r="A11" s="4">
        <v>12</v>
      </c>
      <c r="B11" s="11" t="s">
        <v>14</v>
      </c>
      <c r="C11" s="5">
        <v>0</v>
      </c>
      <c r="D11" s="4">
        <v>-1</v>
      </c>
      <c r="E11" s="6">
        <v>3</v>
      </c>
      <c r="F11" s="4">
        <v>-2</v>
      </c>
      <c r="G11" s="4">
        <v>2</v>
      </c>
      <c r="H11" s="4">
        <v>1</v>
      </c>
      <c r="I11" s="5">
        <v>0</v>
      </c>
      <c r="J11" s="4">
        <v>2</v>
      </c>
      <c r="K11" s="6">
        <v>1</v>
      </c>
      <c r="AD11" s="23"/>
      <c r="AE11" s="23"/>
      <c r="AF11" s="23"/>
      <c r="AG11" s="23"/>
      <c r="AH11" s="23"/>
      <c r="AI11" s="23"/>
    </row>
    <row r="12" spans="1:35" ht="15.75" customHeight="1" thickBot="1" x14ac:dyDescent="0.35">
      <c r="A12" s="4" t="s">
        <v>15</v>
      </c>
      <c r="B12" s="11" t="s">
        <v>16</v>
      </c>
      <c r="C12" s="5">
        <v>0</v>
      </c>
      <c r="D12" s="4">
        <v>-1</v>
      </c>
      <c r="E12" s="6">
        <v>3</v>
      </c>
      <c r="F12" s="16">
        <v>-2</v>
      </c>
      <c r="G12" s="4">
        <v>3</v>
      </c>
      <c r="H12" s="6">
        <v>1</v>
      </c>
      <c r="I12" s="5">
        <v>-3</v>
      </c>
      <c r="J12" s="4">
        <v>1</v>
      </c>
      <c r="K12" s="6">
        <v>2</v>
      </c>
      <c r="AD12" s="23"/>
      <c r="AE12" s="23"/>
      <c r="AF12" s="23"/>
      <c r="AG12" s="23"/>
      <c r="AH12" s="23"/>
      <c r="AI12" s="23"/>
    </row>
    <row r="13" spans="1:35" ht="15.75" customHeight="1" thickBot="1" x14ac:dyDescent="0.35">
      <c r="A13" s="4">
        <v>12</v>
      </c>
      <c r="B13" s="25" t="s">
        <v>17</v>
      </c>
      <c r="C13" s="5">
        <v>0</v>
      </c>
      <c r="D13" s="4">
        <v>-1</v>
      </c>
      <c r="E13" s="6">
        <v>3</v>
      </c>
      <c r="F13" s="16">
        <v>-12</v>
      </c>
      <c r="G13" s="4">
        <v>0</v>
      </c>
      <c r="H13" s="6">
        <v>3</v>
      </c>
      <c r="I13" s="5">
        <v>-11</v>
      </c>
      <c r="J13" s="4">
        <v>0</v>
      </c>
      <c r="K13" s="19">
        <v>2</v>
      </c>
      <c r="AD13" s="23"/>
      <c r="AE13" s="23"/>
      <c r="AF13" s="23"/>
      <c r="AG13" s="23"/>
      <c r="AH13" s="23"/>
      <c r="AI13" s="23"/>
    </row>
    <row r="14" spans="1:35" ht="15.75" customHeight="1" thickBot="1" x14ac:dyDescent="0.35">
      <c r="A14" s="4">
        <v>11</v>
      </c>
      <c r="B14" s="11" t="s">
        <v>18</v>
      </c>
      <c r="C14" s="5">
        <v>0</v>
      </c>
      <c r="D14" s="4">
        <v>0</v>
      </c>
      <c r="E14" s="6">
        <v>2</v>
      </c>
      <c r="F14" s="5">
        <v>-11</v>
      </c>
      <c r="G14" s="4">
        <v>0</v>
      </c>
      <c r="H14" s="6">
        <v>3</v>
      </c>
      <c r="I14" s="4">
        <v>1</v>
      </c>
      <c r="J14" s="4">
        <v>2</v>
      </c>
      <c r="K14" s="4">
        <v>1</v>
      </c>
      <c r="AD14" s="23"/>
      <c r="AE14" s="23"/>
      <c r="AF14" s="23"/>
      <c r="AG14" s="23"/>
      <c r="AH14" s="23"/>
      <c r="AI14" s="23"/>
    </row>
    <row r="15" spans="1:35" ht="15.75" customHeight="1" thickBot="1" x14ac:dyDescent="0.35">
      <c r="A15" s="4">
        <v>12</v>
      </c>
      <c r="B15" s="26" t="s">
        <v>19</v>
      </c>
      <c r="C15" s="12"/>
      <c r="D15" s="13"/>
      <c r="E15" s="14"/>
      <c r="F15" s="5">
        <v>0</v>
      </c>
      <c r="G15" s="4">
        <v>3</v>
      </c>
      <c r="H15" s="6">
        <v>0</v>
      </c>
      <c r="I15" s="20">
        <v>-11</v>
      </c>
      <c r="J15" s="20">
        <v>-1</v>
      </c>
      <c r="K15" s="20">
        <v>3</v>
      </c>
      <c r="L15" s="21"/>
      <c r="M15" s="20"/>
      <c r="N15" s="22"/>
      <c r="O15" s="21"/>
      <c r="P15" s="20"/>
      <c r="Q15" s="22"/>
      <c r="R15" s="21"/>
      <c r="S15" s="20"/>
      <c r="T15" s="22"/>
      <c r="U15" s="21"/>
      <c r="V15" s="20"/>
      <c r="W15" s="22"/>
      <c r="X15" s="21"/>
      <c r="Y15" s="20"/>
      <c r="Z15" s="22"/>
      <c r="AA15" s="21"/>
      <c r="AB15" s="20"/>
      <c r="AC15" s="22"/>
      <c r="AD15" s="23"/>
      <c r="AE15" s="23"/>
      <c r="AF15" s="23"/>
      <c r="AG15" s="23"/>
      <c r="AH15" s="23"/>
      <c r="AI15" s="23"/>
    </row>
    <row r="16" spans="1:35" ht="15.75" customHeight="1" thickBot="1" x14ac:dyDescent="0.35">
      <c r="A16" s="4">
        <v>11</v>
      </c>
      <c r="B16" s="11" t="s">
        <v>20</v>
      </c>
      <c r="C16" s="5">
        <v>0</v>
      </c>
      <c r="D16" s="4">
        <v>0</v>
      </c>
      <c r="E16" s="6">
        <v>2</v>
      </c>
      <c r="F16" s="5">
        <v>-1</v>
      </c>
      <c r="G16" s="4">
        <v>1</v>
      </c>
      <c r="H16" s="6">
        <v>1</v>
      </c>
      <c r="I16" s="5">
        <v>-3</v>
      </c>
      <c r="J16" s="4">
        <v>1</v>
      </c>
      <c r="K16" s="6">
        <v>1</v>
      </c>
      <c r="AD16" s="23"/>
      <c r="AE16" s="23"/>
      <c r="AF16" s="23"/>
      <c r="AG16" s="23"/>
      <c r="AH16" s="23"/>
      <c r="AI16" s="23"/>
    </row>
    <row r="17" spans="1:35" ht="15.75" customHeight="1" thickBot="1" x14ac:dyDescent="0.35">
      <c r="A17" s="4">
        <v>11</v>
      </c>
      <c r="B17" s="26" t="s">
        <v>21</v>
      </c>
      <c r="C17" s="12"/>
      <c r="D17" s="13"/>
      <c r="E17" s="14"/>
      <c r="F17" s="12"/>
      <c r="G17" s="13"/>
      <c r="H17" s="14"/>
      <c r="I17" s="21">
        <v>-11</v>
      </c>
      <c r="J17" s="20">
        <v>0</v>
      </c>
      <c r="K17" s="22">
        <v>3</v>
      </c>
      <c r="L17" s="21"/>
      <c r="M17" s="20"/>
      <c r="N17" s="22"/>
      <c r="O17" s="21"/>
      <c r="P17" s="20"/>
      <c r="Q17" s="22"/>
      <c r="R17" s="21"/>
      <c r="S17" s="20"/>
      <c r="T17" s="22"/>
      <c r="U17" s="21"/>
      <c r="V17" s="20"/>
      <c r="W17" s="22"/>
      <c r="X17" s="21"/>
      <c r="Y17" s="20"/>
      <c r="Z17" s="22"/>
      <c r="AA17" s="21"/>
      <c r="AB17" s="20"/>
      <c r="AC17" s="22"/>
      <c r="AD17" s="23"/>
      <c r="AE17" s="23"/>
      <c r="AF17" s="23"/>
      <c r="AG17" s="23"/>
      <c r="AH17" s="23"/>
      <c r="AI17" s="23"/>
    </row>
    <row r="18" spans="1:35" ht="15.75" customHeight="1" thickBot="1" x14ac:dyDescent="0.35">
      <c r="A18" s="4">
        <v>11</v>
      </c>
      <c r="B18" s="11" t="s">
        <v>22</v>
      </c>
      <c r="C18" s="5">
        <v>0</v>
      </c>
      <c r="D18" s="4">
        <v>0</v>
      </c>
      <c r="E18" s="6">
        <v>3</v>
      </c>
      <c r="F18" s="16">
        <v>-6</v>
      </c>
      <c r="G18" s="4">
        <v>2</v>
      </c>
      <c r="H18" s="6">
        <v>1</v>
      </c>
      <c r="I18" s="5">
        <v>0</v>
      </c>
      <c r="J18" s="4">
        <v>2</v>
      </c>
      <c r="K18" s="6">
        <v>1</v>
      </c>
      <c r="AD18" s="23"/>
      <c r="AE18" s="23"/>
      <c r="AF18" s="23"/>
      <c r="AG18" s="23"/>
      <c r="AH18" s="23"/>
      <c r="AI18" s="23"/>
    </row>
    <row r="19" spans="1:35" ht="15.75" customHeight="1" thickBot="1" x14ac:dyDescent="0.35">
      <c r="A19" s="4">
        <v>11</v>
      </c>
      <c r="B19" s="11" t="s">
        <v>23</v>
      </c>
      <c r="C19" s="12"/>
      <c r="D19" s="13"/>
      <c r="E19" s="14"/>
      <c r="F19" s="12"/>
      <c r="G19" s="13"/>
      <c r="H19" s="14"/>
      <c r="I19" s="12"/>
      <c r="J19" s="13"/>
      <c r="K19" s="14"/>
      <c r="L19" s="12"/>
      <c r="M19" s="13"/>
      <c r="N19" s="14"/>
      <c r="O19" s="12"/>
      <c r="P19" s="13"/>
      <c r="Q19" s="14"/>
      <c r="R19" s="12"/>
      <c r="S19" s="13"/>
      <c r="T19" s="14"/>
      <c r="U19" s="12"/>
      <c r="V19" s="13"/>
      <c r="W19" s="14"/>
      <c r="X19" s="12"/>
      <c r="Y19" s="13"/>
      <c r="Z19" s="14"/>
      <c r="AA19" s="12"/>
      <c r="AB19" s="13"/>
      <c r="AC19" s="14"/>
      <c r="AD19" s="23"/>
      <c r="AE19" s="23"/>
      <c r="AF19" s="23"/>
      <c r="AG19" s="23"/>
      <c r="AH19" s="23"/>
      <c r="AI19" s="23"/>
    </row>
    <row r="20" spans="1:35" ht="15.75" customHeight="1" thickBot="1" x14ac:dyDescent="0.35">
      <c r="A20" s="4">
        <v>11</v>
      </c>
      <c r="B20" s="27" t="s">
        <v>24</v>
      </c>
      <c r="C20" s="5">
        <v>0</v>
      </c>
      <c r="D20" s="4">
        <v>0</v>
      </c>
      <c r="E20" s="6">
        <v>2</v>
      </c>
      <c r="F20" s="7"/>
      <c r="G20" s="8"/>
      <c r="H20" s="9"/>
      <c r="I20" s="7"/>
      <c r="J20" s="8"/>
      <c r="K20" s="9"/>
      <c r="L20" s="7"/>
      <c r="M20" s="8"/>
      <c r="N20" s="9"/>
      <c r="O20" s="7"/>
      <c r="P20" s="8"/>
      <c r="Q20" s="9"/>
      <c r="R20" s="7"/>
      <c r="S20" s="8"/>
      <c r="T20" s="9"/>
      <c r="U20" s="7"/>
      <c r="V20" s="8"/>
      <c r="W20" s="9"/>
      <c r="X20" s="7"/>
      <c r="Y20" s="8"/>
      <c r="Z20" s="9"/>
      <c r="AA20" s="7"/>
      <c r="AB20" s="8"/>
      <c r="AC20" s="9"/>
      <c r="AD20" s="23"/>
      <c r="AE20" s="23"/>
      <c r="AF20" s="23"/>
      <c r="AG20" s="23"/>
      <c r="AH20" s="23"/>
      <c r="AI20" s="23"/>
    </row>
    <row r="21" spans="1:35" ht="15.75" customHeight="1" thickBot="1" x14ac:dyDescent="0.35">
      <c r="A21" s="4">
        <v>11</v>
      </c>
      <c r="B21" s="27" t="s">
        <v>25</v>
      </c>
      <c r="C21" s="5">
        <v>0</v>
      </c>
      <c r="D21" s="4">
        <v>0</v>
      </c>
      <c r="E21" s="6">
        <v>3</v>
      </c>
      <c r="F21" s="5">
        <v>0</v>
      </c>
      <c r="G21" s="4">
        <v>3</v>
      </c>
      <c r="H21" s="6">
        <v>1</v>
      </c>
      <c r="I21" s="7"/>
      <c r="J21" s="8"/>
      <c r="K21" s="9"/>
      <c r="L21" s="7"/>
      <c r="M21" s="8"/>
      <c r="N21" s="9"/>
      <c r="O21" s="7"/>
      <c r="P21" s="8"/>
      <c r="Q21" s="9"/>
      <c r="R21" s="7"/>
      <c r="S21" s="8"/>
      <c r="T21" s="9"/>
      <c r="U21" s="7"/>
      <c r="V21" s="8"/>
      <c r="W21" s="9"/>
      <c r="X21" s="7"/>
      <c r="Y21" s="8"/>
      <c r="Z21" s="9"/>
      <c r="AA21" s="7"/>
      <c r="AB21" s="8"/>
      <c r="AC21" s="9"/>
      <c r="AD21" s="23"/>
      <c r="AE21" s="23"/>
      <c r="AF21" s="23"/>
      <c r="AG21" s="23"/>
      <c r="AH21" s="23"/>
      <c r="AI21" s="23"/>
    </row>
    <row r="22" spans="1:35" ht="15.75" customHeight="1" thickBot="1" x14ac:dyDescent="0.35">
      <c r="A22" s="4">
        <v>11</v>
      </c>
      <c r="B22" s="11" t="s">
        <v>26</v>
      </c>
      <c r="C22" s="5">
        <v>0</v>
      </c>
      <c r="D22" s="4">
        <v>0</v>
      </c>
      <c r="E22" s="6">
        <v>3</v>
      </c>
      <c r="F22" s="5">
        <v>-8</v>
      </c>
      <c r="G22" s="4">
        <v>0</v>
      </c>
      <c r="H22" s="6">
        <v>3</v>
      </c>
      <c r="I22" s="5">
        <v>0</v>
      </c>
      <c r="J22" s="4">
        <v>2</v>
      </c>
      <c r="K22" s="6">
        <v>1</v>
      </c>
      <c r="AD22" s="23"/>
      <c r="AE22" s="23"/>
      <c r="AF22" s="23"/>
      <c r="AG22" s="23"/>
      <c r="AH22" s="23"/>
      <c r="AI22" s="23"/>
    </row>
    <row r="23" spans="1:35" ht="15.75" customHeight="1" thickBot="1" x14ac:dyDescent="0.35">
      <c r="A23" s="4">
        <v>11</v>
      </c>
      <c r="B23" s="33" t="s">
        <v>27</v>
      </c>
      <c r="C23" s="5">
        <v>0</v>
      </c>
      <c r="D23" s="4">
        <v>0</v>
      </c>
      <c r="E23" s="6">
        <v>3</v>
      </c>
      <c r="F23" s="5">
        <v>0</v>
      </c>
      <c r="G23" s="4">
        <v>3</v>
      </c>
      <c r="H23" s="6">
        <v>2</v>
      </c>
      <c r="I23" s="5">
        <v>0</v>
      </c>
      <c r="J23" s="4">
        <v>2</v>
      </c>
      <c r="K23" s="6">
        <v>2</v>
      </c>
      <c r="AD23" s="23"/>
      <c r="AE23" s="23"/>
      <c r="AF23" s="23"/>
      <c r="AG23" s="23"/>
      <c r="AH23" s="23"/>
      <c r="AI23" s="23"/>
    </row>
    <row r="24" spans="1:35" ht="15.75" customHeight="1" thickBot="1" x14ac:dyDescent="0.35">
      <c r="A24" s="4">
        <v>11</v>
      </c>
      <c r="B24" s="11" t="s">
        <v>28</v>
      </c>
      <c r="C24" s="5">
        <v>0</v>
      </c>
      <c r="D24" s="4">
        <v>0</v>
      </c>
      <c r="E24" s="6">
        <v>3</v>
      </c>
      <c r="F24" s="5">
        <v>0</v>
      </c>
      <c r="G24" s="4">
        <v>3</v>
      </c>
      <c r="H24" s="6">
        <v>1</v>
      </c>
      <c r="I24" s="5">
        <v>0</v>
      </c>
      <c r="J24" s="4">
        <v>2</v>
      </c>
      <c r="K24" s="6">
        <v>1</v>
      </c>
      <c r="AD24" s="23"/>
      <c r="AE24" s="23"/>
      <c r="AF24" s="23"/>
      <c r="AG24" s="23"/>
      <c r="AH24" s="23"/>
      <c r="AI24" s="23"/>
    </row>
    <row r="25" spans="1:35" ht="15.75" customHeight="1" thickBot="1" x14ac:dyDescent="0.35">
      <c r="A25" s="4">
        <v>11</v>
      </c>
      <c r="B25" s="25" t="s">
        <v>29</v>
      </c>
      <c r="C25" s="5">
        <v>-3</v>
      </c>
      <c r="D25" s="4">
        <v>0</v>
      </c>
      <c r="E25" s="6">
        <v>3</v>
      </c>
      <c r="F25" s="5">
        <v>0</v>
      </c>
      <c r="G25" s="4">
        <v>1</v>
      </c>
      <c r="H25" s="6">
        <v>1</v>
      </c>
      <c r="I25" s="5">
        <v>0</v>
      </c>
      <c r="J25" s="4">
        <v>0</v>
      </c>
      <c r="K25" s="24">
        <v>1</v>
      </c>
      <c r="AD25" s="23"/>
      <c r="AE25" s="23"/>
      <c r="AF25" s="23"/>
      <c r="AG25" s="23"/>
      <c r="AH25" s="23"/>
      <c r="AI25" s="23"/>
    </row>
    <row r="26" spans="1:35" ht="15.75" customHeight="1" thickBot="1" x14ac:dyDescent="0.35">
      <c r="A26" s="4">
        <v>11</v>
      </c>
      <c r="B26" s="26" t="s">
        <v>30</v>
      </c>
      <c r="C26" s="5">
        <v>0</v>
      </c>
      <c r="D26" s="4">
        <v>0</v>
      </c>
      <c r="E26" s="6">
        <v>3</v>
      </c>
      <c r="F26" s="5">
        <v>4</v>
      </c>
      <c r="G26" s="4">
        <v>3</v>
      </c>
      <c r="H26" s="6">
        <v>2</v>
      </c>
      <c r="I26" s="21"/>
      <c r="J26" s="20"/>
      <c r="K26" s="22"/>
      <c r="L26" s="21"/>
      <c r="M26" s="20"/>
      <c r="N26" s="22"/>
      <c r="O26" s="21"/>
      <c r="P26" s="20"/>
      <c r="Q26" s="22"/>
      <c r="R26" s="21"/>
      <c r="S26" s="20"/>
      <c r="T26" s="22"/>
      <c r="U26" s="21"/>
      <c r="V26" s="20"/>
      <c r="W26" s="22"/>
      <c r="X26" s="21"/>
      <c r="Y26" s="20"/>
      <c r="Z26" s="22"/>
      <c r="AA26" s="21"/>
      <c r="AB26" s="20"/>
      <c r="AC26" s="22"/>
      <c r="AD26" s="23"/>
      <c r="AE26" s="23"/>
      <c r="AF26" s="23"/>
      <c r="AG26" s="23"/>
      <c r="AH26" s="23"/>
      <c r="AI26" s="23"/>
    </row>
    <row r="27" spans="1:35" ht="15.75" customHeight="1" thickBot="1" x14ac:dyDescent="0.35">
      <c r="A27" s="4">
        <v>11</v>
      </c>
      <c r="B27" s="11" t="s">
        <v>31</v>
      </c>
      <c r="C27" s="5">
        <v>0</v>
      </c>
      <c r="D27" s="4">
        <v>1</v>
      </c>
      <c r="E27" s="6">
        <v>2</v>
      </c>
      <c r="F27" s="5">
        <v>0</v>
      </c>
      <c r="G27" s="4">
        <v>3</v>
      </c>
      <c r="H27" s="6">
        <v>3</v>
      </c>
      <c r="I27" s="5">
        <v>0</v>
      </c>
      <c r="J27" s="4">
        <v>-1</v>
      </c>
      <c r="K27" s="6">
        <v>3</v>
      </c>
      <c r="AD27" s="23"/>
      <c r="AE27" s="23"/>
      <c r="AF27" s="23"/>
      <c r="AG27" s="23"/>
      <c r="AH27" s="23"/>
      <c r="AI27" s="23"/>
    </row>
    <row r="28" spans="1:35" ht="15.75" customHeight="1" thickBot="1" x14ac:dyDescent="0.35">
      <c r="A28" s="4">
        <v>11</v>
      </c>
      <c r="B28" s="25" t="s">
        <v>32</v>
      </c>
      <c r="C28" s="5">
        <v>0</v>
      </c>
      <c r="D28" s="4">
        <v>0</v>
      </c>
      <c r="E28" s="6">
        <v>3</v>
      </c>
      <c r="F28" s="5">
        <v>1</v>
      </c>
      <c r="G28" s="4">
        <v>1</v>
      </c>
      <c r="H28" s="6">
        <v>2</v>
      </c>
      <c r="I28" s="5">
        <v>1</v>
      </c>
      <c r="J28" s="4">
        <v>0</v>
      </c>
      <c r="K28" s="24">
        <v>2</v>
      </c>
      <c r="AD28" s="23"/>
      <c r="AE28" s="23"/>
      <c r="AF28" s="23"/>
      <c r="AG28" s="23"/>
      <c r="AH28" s="23"/>
      <c r="AI28" s="23"/>
    </row>
    <row r="29" spans="1:35" ht="15.75" customHeight="1" thickBot="1" x14ac:dyDescent="0.35">
      <c r="A29" s="4">
        <v>11</v>
      </c>
      <c r="B29" s="33" t="s">
        <v>33</v>
      </c>
      <c r="C29" s="5">
        <v>3</v>
      </c>
      <c r="D29" s="4">
        <v>0</v>
      </c>
      <c r="E29" s="6">
        <v>3</v>
      </c>
      <c r="F29" s="5">
        <v>12</v>
      </c>
      <c r="G29" s="4">
        <v>2</v>
      </c>
      <c r="H29" s="6">
        <v>1</v>
      </c>
      <c r="I29" s="5">
        <v>0</v>
      </c>
      <c r="J29" s="4">
        <v>-1</v>
      </c>
      <c r="K29" s="6">
        <v>3</v>
      </c>
      <c r="AD29" s="23"/>
      <c r="AE29" s="23"/>
      <c r="AF29" s="23"/>
      <c r="AG29" s="23"/>
      <c r="AH29" s="23"/>
      <c r="AI29" s="23"/>
    </row>
    <row r="30" spans="1:35" ht="15.75" customHeight="1" thickBot="1" x14ac:dyDescent="0.35">
      <c r="A30" s="4">
        <v>11</v>
      </c>
      <c r="B30" s="11" t="s">
        <v>34</v>
      </c>
      <c r="C30" s="5">
        <v>0</v>
      </c>
      <c r="D30" s="4">
        <v>0</v>
      </c>
      <c r="E30" s="6">
        <v>3</v>
      </c>
      <c r="F30" s="5">
        <v>0</v>
      </c>
      <c r="G30" s="4">
        <v>-2</v>
      </c>
      <c r="H30" s="6">
        <v>3</v>
      </c>
      <c r="I30" s="5">
        <v>0</v>
      </c>
      <c r="J30" s="4">
        <v>-1</v>
      </c>
      <c r="K30" s="6">
        <v>3</v>
      </c>
      <c r="AD30" s="23"/>
      <c r="AE30" s="23"/>
      <c r="AF30" s="23"/>
      <c r="AG30" s="23"/>
      <c r="AH30" s="23"/>
      <c r="AI30" s="23"/>
    </row>
    <row r="31" spans="1:35" ht="15.75" customHeight="1" thickBot="1" x14ac:dyDescent="0.35">
      <c r="A31" s="4" t="s">
        <v>35</v>
      </c>
      <c r="B31" s="11" t="s">
        <v>36</v>
      </c>
      <c r="C31" s="5">
        <v>0</v>
      </c>
      <c r="D31" s="4">
        <v>0</v>
      </c>
      <c r="E31" s="6">
        <v>3</v>
      </c>
      <c r="F31" s="17">
        <v>0</v>
      </c>
      <c r="G31" s="4">
        <v>-1</v>
      </c>
      <c r="H31" s="6">
        <v>3</v>
      </c>
      <c r="I31" s="5">
        <v>0</v>
      </c>
      <c r="J31" s="4">
        <v>-1</v>
      </c>
      <c r="K31" s="6">
        <v>3</v>
      </c>
      <c r="AD31" s="23"/>
      <c r="AE31" s="23"/>
      <c r="AF31" s="23"/>
      <c r="AG31" s="23"/>
      <c r="AH31" s="23"/>
      <c r="AI31" s="23"/>
    </row>
    <row r="32" spans="1:35" ht="15.75" customHeight="1" thickBot="1" x14ac:dyDescent="0.35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</row>
    <row r="33" spans="1:35" ht="15.75" customHeight="1" thickBot="1" x14ac:dyDescent="0.35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</row>
    <row r="34" spans="1:35" ht="15.75" customHeight="1" thickBot="1" x14ac:dyDescent="0.35">
      <c r="A34" s="29"/>
      <c r="B34" s="28" t="s">
        <v>37</v>
      </c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</row>
    <row r="35" spans="1:35" ht="15.75" customHeight="1" thickBot="1" x14ac:dyDescent="0.35">
      <c r="A35" s="30"/>
      <c r="B35" s="28" t="s">
        <v>38</v>
      </c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</row>
    <row r="36" spans="1:35" ht="15.75" customHeight="1" thickBot="1" x14ac:dyDescent="0.35">
      <c r="A36" s="18"/>
      <c r="B36" s="28" t="s">
        <v>39</v>
      </c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</row>
    <row r="37" spans="1:35" ht="15.75" customHeight="1" thickBot="1" x14ac:dyDescent="0.35">
      <c r="A37" s="31"/>
      <c r="B37" s="28" t="s">
        <v>40</v>
      </c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</row>
    <row r="38" spans="1:35" ht="15.75" customHeight="1" thickBot="1" x14ac:dyDescent="0.35">
      <c r="A38" s="32"/>
      <c r="B38" s="28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</row>
    <row r="39" spans="1:35" ht="15.75" customHeight="1" thickBot="1" x14ac:dyDescent="0.35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</row>
    <row r="40" spans="1:35" ht="15.75" customHeight="1" thickBot="1" x14ac:dyDescent="0.35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</row>
    <row r="41" spans="1:35" ht="15.75" customHeight="1" thickBot="1" x14ac:dyDescent="0.35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</row>
    <row r="42" spans="1:35" ht="15.75" customHeight="1" thickBot="1" x14ac:dyDescent="0.35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</row>
    <row r="43" spans="1:35" ht="15.75" customHeight="1" thickBot="1" x14ac:dyDescent="0.35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</row>
    <row r="44" spans="1:35" ht="15.75" customHeight="1" thickBot="1" x14ac:dyDescent="0.35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</row>
    <row r="45" spans="1:35" ht="15.75" customHeight="1" thickBot="1" x14ac:dyDescent="0.35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</row>
    <row r="46" spans="1:35" ht="15.75" customHeight="1" thickBot="1" x14ac:dyDescent="0.35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</row>
    <row r="47" spans="1:35" ht="15.75" customHeight="1" thickBot="1" x14ac:dyDescent="0.35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43"/>
  <sheetViews>
    <sheetView topLeftCell="A15" workbookViewId="0">
      <selection activeCell="S28" sqref="S28:V28"/>
    </sheetView>
  </sheetViews>
  <sheetFormatPr defaultColWidth="9.109375" defaultRowHeight="14.4" outlineLevelRow="1" outlineLevelCol="1" x14ac:dyDescent="0.3"/>
  <cols>
    <col min="1" max="1" width="9.109375" style="39" customWidth="1"/>
    <col min="2" max="2" width="22" style="39" customWidth="1"/>
    <col min="3" max="20" width="9.109375" style="39" customWidth="1" outlineLevel="1"/>
    <col min="21" max="21" width="9.109375" style="40" customWidth="1"/>
    <col min="22" max="22" width="9.109375" style="39" customWidth="1"/>
    <col min="23" max="23" width="9.109375" style="41" customWidth="1"/>
    <col min="24" max="24" width="9.109375" style="39" customWidth="1"/>
    <col min="25" max="16384" width="9.109375" style="39"/>
  </cols>
  <sheetData>
    <row r="1" spans="1:23" ht="15.75" customHeight="1" thickBot="1" x14ac:dyDescent="0.35">
      <c r="B1" s="61"/>
      <c r="C1" s="90">
        <v>1</v>
      </c>
      <c r="D1" s="91"/>
      <c r="E1" s="92"/>
      <c r="F1" s="90">
        <v>2</v>
      </c>
      <c r="G1" s="91"/>
      <c r="H1" s="92"/>
      <c r="I1" s="90">
        <v>3</v>
      </c>
      <c r="J1" s="91"/>
      <c r="K1" s="92"/>
      <c r="L1" s="90">
        <v>4</v>
      </c>
      <c r="M1" s="91"/>
      <c r="N1" s="92"/>
      <c r="O1" s="90">
        <v>5</v>
      </c>
      <c r="P1" s="91"/>
      <c r="Q1" s="92"/>
      <c r="R1" s="90">
        <v>6</v>
      </c>
      <c r="S1" s="91"/>
      <c r="T1" s="92"/>
      <c r="U1" s="90">
        <v>7</v>
      </c>
      <c r="V1" s="91"/>
      <c r="W1" s="92"/>
    </row>
    <row r="2" spans="1:23" ht="15.75" customHeight="1" thickBot="1" x14ac:dyDescent="0.35">
      <c r="A2" s="36"/>
      <c r="B2" s="37" t="s">
        <v>0</v>
      </c>
      <c r="C2" s="37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3">
      <c r="A3" s="39">
        <v>16</v>
      </c>
      <c r="B3" s="39" t="s">
        <v>4</v>
      </c>
      <c r="C3" s="40"/>
      <c r="D3" s="39">
        <f>avv!A1-A3</f>
        <v>-1</v>
      </c>
      <c r="E3" s="54">
        <v>3</v>
      </c>
      <c r="F3" s="40"/>
      <c r="G3" s="39">
        <f>avv!B1-A3</f>
        <v>2</v>
      </c>
      <c r="H3" s="41">
        <v>3</v>
      </c>
      <c r="I3" s="40"/>
      <c r="J3" s="39">
        <f>avv!C1-A3</f>
        <v>2</v>
      </c>
      <c r="K3" s="41">
        <v>2</v>
      </c>
      <c r="L3" s="40"/>
      <c r="M3" s="39">
        <f>avv!D1-A3</f>
        <v>1</v>
      </c>
      <c r="N3" s="41">
        <v>3</v>
      </c>
      <c r="O3" s="40"/>
      <c r="P3" s="39">
        <f>avv!E1-A3</f>
        <v>1</v>
      </c>
      <c r="Q3" s="41">
        <v>3</v>
      </c>
      <c r="R3" s="40"/>
      <c r="S3" s="39">
        <f>avv!F1-A3</f>
        <v>0</v>
      </c>
      <c r="T3" s="39">
        <v>3</v>
      </c>
      <c r="V3" s="39">
        <f>avv!G1-A3</f>
        <v>-1</v>
      </c>
      <c r="W3" s="41">
        <v>3</v>
      </c>
    </row>
    <row r="4" spans="1:23" x14ac:dyDescent="0.3">
      <c r="A4" s="39">
        <v>15</v>
      </c>
      <c r="B4" s="55" t="s">
        <v>41</v>
      </c>
      <c r="C4" s="40"/>
      <c r="D4" s="39">
        <f>avv!A2-A4</f>
        <v>0</v>
      </c>
      <c r="E4" s="54">
        <v>3</v>
      </c>
      <c r="F4" s="40"/>
      <c r="G4" s="39">
        <f>avv!B2-A4</f>
        <v>1</v>
      </c>
      <c r="H4" s="41">
        <v>2</v>
      </c>
      <c r="I4" s="40"/>
      <c r="K4" s="64"/>
      <c r="L4" s="40"/>
      <c r="M4" s="55"/>
      <c r="N4" s="41"/>
      <c r="O4" s="40"/>
      <c r="P4" s="39">
        <f>avv!E2-A4</f>
        <v>2</v>
      </c>
      <c r="Q4" s="41">
        <v>2</v>
      </c>
      <c r="R4" s="40"/>
      <c r="S4" s="39">
        <f>avv!F2-A4</f>
        <v>1</v>
      </c>
      <c r="T4" s="39">
        <v>2</v>
      </c>
      <c r="V4" s="39">
        <f>avv!G2-A4</f>
        <v>0</v>
      </c>
      <c r="W4" s="41">
        <v>2</v>
      </c>
    </row>
    <row r="5" spans="1:23" x14ac:dyDescent="0.3">
      <c r="A5" s="39">
        <v>15</v>
      </c>
      <c r="B5" s="55" t="s">
        <v>6</v>
      </c>
      <c r="C5" s="40"/>
      <c r="D5" s="39">
        <f>avv!A3-A5</f>
        <v>0</v>
      </c>
      <c r="E5" s="54">
        <v>3</v>
      </c>
      <c r="F5" s="40"/>
      <c r="G5" s="39">
        <f>avv!B3-A5</f>
        <v>0</v>
      </c>
      <c r="H5" s="41">
        <v>3</v>
      </c>
      <c r="I5" s="40"/>
      <c r="K5" s="64"/>
      <c r="L5" s="40"/>
      <c r="M5" s="39">
        <f>avv!D3-A5</f>
        <v>0</v>
      </c>
      <c r="N5" s="41">
        <v>3</v>
      </c>
      <c r="O5" s="40"/>
      <c r="P5" s="39">
        <f>avv!E4-A5</f>
        <v>0</v>
      </c>
      <c r="Q5" s="41">
        <v>3</v>
      </c>
      <c r="R5" s="40"/>
      <c r="S5" s="39">
        <f>avv!F3-A5</f>
        <v>0</v>
      </c>
      <c r="T5" s="39">
        <v>1</v>
      </c>
      <c r="V5" s="39">
        <f>avv!G3-A5</f>
        <v>-1</v>
      </c>
      <c r="W5" s="41">
        <v>3</v>
      </c>
    </row>
    <row r="6" spans="1:23" x14ac:dyDescent="0.3">
      <c r="A6" s="39">
        <v>13</v>
      </c>
      <c r="B6" s="55" t="s">
        <v>42</v>
      </c>
      <c r="C6" s="53"/>
      <c r="D6" s="39">
        <f>avv!A4-A6</f>
        <v>2</v>
      </c>
      <c r="E6" s="54">
        <v>3</v>
      </c>
      <c r="F6" s="40"/>
      <c r="G6" s="55"/>
      <c r="H6" s="41"/>
      <c r="I6" s="40"/>
      <c r="J6" s="39">
        <f>avv!C4-A6</f>
        <v>4</v>
      </c>
      <c r="K6" s="41">
        <v>1</v>
      </c>
      <c r="L6" s="40"/>
      <c r="M6" s="39">
        <f>avv!D4-A6</f>
        <v>2</v>
      </c>
      <c r="N6" s="41">
        <v>1</v>
      </c>
      <c r="O6" s="40"/>
      <c r="P6" s="55"/>
      <c r="Q6" s="41"/>
      <c r="R6" s="40"/>
      <c r="S6" s="39">
        <f>avv!F4-A6</f>
        <v>2</v>
      </c>
      <c r="T6" s="39">
        <v>0</v>
      </c>
      <c r="V6" s="39">
        <f>avv!G4-A6</f>
        <v>1</v>
      </c>
      <c r="W6" s="41">
        <v>0</v>
      </c>
    </row>
    <row r="7" spans="1:23" x14ac:dyDescent="0.3">
      <c r="A7" s="39">
        <v>13</v>
      </c>
      <c r="B7" s="39" t="s">
        <v>10</v>
      </c>
      <c r="C7" s="40"/>
      <c r="D7" s="39">
        <f>avv!A7-A7</f>
        <v>1</v>
      </c>
      <c r="E7" s="54">
        <v>3</v>
      </c>
      <c r="F7" s="40"/>
      <c r="G7" s="39">
        <f>avv!B10-A7</f>
        <v>1</v>
      </c>
      <c r="H7" s="41">
        <v>3</v>
      </c>
      <c r="I7" s="53"/>
      <c r="J7" s="39">
        <f>avv!C7-A7</f>
        <v>2</v>
      </c>
      <c r="K7" s="41">
        <v>3</v>
      </c>
      <c r="L7" s="40"/>
      <c r="M7" s="39">
        <f>avv!D5-A7</f>
        <v>2</v>
      </c>
      <c r="N7" s="41">
        <v>3</v>
      </c>
      <c r="O7" s="40"/>
      <c r="P7" s="39">
        <f>avv!E5-A7</f>
        <v>2</v>
      </c>
      <c r="Q7" s="41">
        <v>3</v>
      </c>
      <c r="R7" s="40"/>
      <c r="S7" s="39">
        <f>avv!F22-A7</f>
        <v>-1</v>
      </c>
      <c r="T7" s="39">
        <v>3</v>
      </c>
      <c r="V7" s="39">
        <f>avv!G5-A7</f>
        <v>1</v>
      </c>
      <c r="W7" s="41">
        <v>3</v>
      </c>
    </row>
    <row r="8" spans="1:23" x14ac:dyDescent="0.3">
      <c r="A8" s="39">
        <v>13</v>
      </c>
      <c r="B8" s="50" t="s">
        <v>7</v>
      </c>
      <c r="C8" s="51">
        <v>-6</v>
      </c>
      <c r="D8" s="39">
        <f>avv!A12-A8</f>
        <v>-2</v>
      </c>
      <c r="E8" s="54">
        <v>3</v>
      </c>
      <c r="F8" s="40"/>
      <c r="G8" s="39">
        <f>avv!B7-A8</f>
        <v>2</v>
      </c>
      <c r="H8" s="41">
        <v>2</v>
      </c>
      <c r="I8" s="40"/>
      <c r="J8" s="39">
        <f>avv!C5-A8</f>
        <v>2</v>
      </c>
      <c r="K8" s="41">
        <v>1</v>
      </c>
      <c r="L8" s="40"/>
      <c r="M8" s="39">
        <f>avv!D6-A8</f>
        <v>2</v>
      </c>
      <c r="N8" s="41">
        <v>2</v>
      </c>
      <c r="O8" s="40"/>
      <c r="P8" s="39">
        <f>avv!E6-A8</f>
        <v>0</v>
      </c>
      <c r="Q8" s="41">
        <v>2</v>
      </c>
      <c r="R8" s="40"/>
      <c r="S8" s="39">
        <f>avv!F6-A8</f>
        <v>2</v>
      </c>
      <c r="T8" s="39">
        <v>1</v>
      </c>
      <c r="V8" s="39">
        <f>avv!G6-A8</f>
        <v>0</v>
      </c>
      <c r="W8" s="41">
        <v>1</v>
      </c>
    </row>
    <row r="9" spans="1:23" x14ac:dyDescent="0.3">
      <c r="A9" s="39">
        <v>13</v>
      </c>
      <c r="B9" s="55" t="s">
        <v>8</v>
      </c>
      <c r="C9" s="65"/>
      <c r="D9" s="66"/>
      <c r="E9" s="67"/>
      <c r="F9" s="65"/>
      <c r="G9" s="66"/>
      <c r="H9" s="67"/>
      <c r="I9" s="65"/>
      <c r="J9" s="66"/>
      <c r="K9" s="67"/>
      <c r="L9" s="40"/>
      <c r="M9" s="55"/>
      <c r="N9" s="41"/>
      <c r="O9" s="40"/>
      <c r="P9" s="55"/>
      <c r="Q9" s="41"/>
      <c r="R9" s="40"/>
      <c r="S9" s="55">
        <f>avv!F7-A9</f>
        <v>2</v>
      </c>
      <c r="V9" s="39">
        <f>avv!G7-A9</f>
        <v>0</v>
      </c>
    </row>
    <row r="10" spans="1:23" x14ac:dyDescent="0.3">
      <c r="A10" s="39">
        <v>13</v>
      </c>
      <c r="B10" s="39" t="s">
        <v>12</v>
      </c>
      <c r="C10" s="40"/>
      <c r="D10" s="39">
        <f>avv!A8-A10</f>
        <v>0</v>
      </c>
      <c r="E10" s="54">
        <v>2</v>
      </c>
      <c r="F10" s="40"/>
      <c r="G10" s="39">
        <f>avv!B8-A10</f>
        <v>2</v>
      </c>
      <c r="H10" s="41">
        <v>1</v>
      </c>
      <c r="I10" s="53"/>
      <c r="J10" s="39">
        <f>avv!C8-A10</f>
        <v>1</v>
      </c>
      <c r="K10" s="41">
        <v>3</v>
      </c>
      <c r="L10" s="40"/>
      <c r="M10" s="39">
        <f>avv!D8-A10</f>
        <v>2</v>
      </c>
      <c r="N10" s="41">
        <v>2</v>
      </c>
      <c r="O10" s="40"/>
      <c r="P10" s="39">
        <f>avv!E10-A10</f>
        <v>-1</v>
      </c>
      <c r="Q10" s="41">
        <v>3</v>
      </c>
      <c r="R10" s="40"/>
      <c r="S10" s="39">
        <f>avv!F8-A10</f>
        <v>2</v>
      </c>
      <c r="T10" s="39">
        <v>2</v>
      </c>
      <c r="V10" s="39">
        <f>avv!G8-A10</f>
        <v>0</v>
      </c>
      <c r="W10" s="41">
        <v>2</v>
      </c>
    </row>
    <row r="11" spans="1:23" x14ac:dyDescent="0.3">
      <c r="A11" s="39">
        <v>13</v>
      </c>
      <c r="B11" s="69" t="s">
        <v>11</v>
      </c>
      <c r="C11" s="40"/>
      <c r="D11" s="39">
        <f>avv!A9-A11</f>
        <v>-1</v>
      </c>
      <c r="E11" s="54">
        <v>3</v>
      </c>
      <c r="G11" s="39">
        <f>avv!B9-A11</f>
        <v>1</v>
      </c>
      <c r="H11" s="39">
        <v>2</v>
      </c>
      <c r="I11" s="40"/>
      <c r="J11" s="39">
        <f>avv!C9-A11</f>
        <v>1</v>
      </c>
      <c r="K11" s="41">
        <v>2</v>
      </c>
      <c r="L11" s="40"/>
      <c r="M11" s="39">
        <f>avv!D9-A11</f>
        <v>1</v>
      </c>
      <c r="N11" s="70">
        <v>1</v>
      </c>
      <c r="O11" s="40"/>
      <c r="P11" s="39">
        <f>avv!E9-A11</f>
        <v>-1</v>
      </c>
      <c r="Q11" s="41">
        <v>3</v>
      </c>
      <c r="R11" s="40"/>
      <c r="S11" s="39">
        <f>avv!F9-A11</f>
        <v>2</v>
      </c>
      <c r="T11" s="39">
        <v>2</v>
      </c>
      <c r="V11" s="39">
        <f>avv!G9-A11</f>
        <v>0</v>
      </c>
      <c r="W11" s="41">
        <v>3</v>
      </c>
    </row>
    <row r="12" spans="1:23" x14ac:dyDescent="0.3">
      <c r="A12" s="39">
        <v>13</v>
      </c>
      <c r="B12" s="55" t="s">
        <v>18</v>
      </c>
      <c r="C12" s="40"/>
      <c r="D12" s="39">
        <f>avv!A10-A12</f>
        <v>-1</v>
      </c>
      <c r="E12" s="52">
        <v>2</v>
      </c>
      <c r="F12" s="40"/>
      <c r="G12" s="55"/>
      <c r="H12" s="41"/>
      <c r="I12" s="40"/>
      <c r="K12" s="64"/>
      <c r="L12" s="40"/>
      <c r="M12" s="39">
        <f>avv!D28-A12</f>
        <v>-1</v>
      </c>
      <c r="N12" s="41">
        <v>3</v>
      </c>
      <c r="O12" s="40"/>
      <c r="P12" s="39">
        <f>avv!E10-A12</f>
        <v>-1</v>
      </c>
      <c r="Q12" s="41">
        <v>2</v>
      </c>
      <c r="R12" s="40"/>
      <c r="S12" s="39">
        <f>avv!F24-A12</f>
        <v>-1</v>
      </c>
      <c r="T12" s="39">
        <v>3</v>
      </c>
      <c r="V12" s="39">
        <f>avv!G10-A12</f>
        <v>0</v>
      </c>
    </row>
    <row r="13" spans="1:23" x14ac:dyDescent="0.3">
      <c r="A13" s="39">
        <v>12</v>
      </c>
      <c r="B13" s="69" t="s">
        <v>14</v>
      </c>
      <c r="C13" s="40"/>
      <c r="D13" s="39">
        <f>avv!A20-A13</f>
        <v>-2</v>
      </c>
      <c r="E13" s="54">
        <v>3</v>
      </c>
      <c r="F13" s="40"/>
      <c r="G13" s="39">
        <f>avv!B11-A13</f>
        <v>1</v>
      </c>
      <c r="H13" s="41">
        <v>2</v>
      </c>
      <c r="I13" s="40"/>
      <c r="J13" s="39">
        <f>avv!C11-A13</f>
        <v>1</v>
      </c>
      <c r="K13" s="70">
        <v>1</v>
      </c>
      <c r="L13" s="40"/>
      <c r="M13" s="39">
        <f>avv!D11-A13</f>
        <v>2</v>
      </c>
      <c r="N13" s="41">
        <v>2</v>
      </c>
      <c r="O13" s="40"/>
      <c r="P13" s="39">
        <f>avv!E12-A13</f>
        <v>0</v>
      </c>
      <c r="Q13" s="41">
        <v>3</v>
      </c>
      <c r="R13" s="40"/>
      <c r="S13" s="39">
        <f>avv!F11-A13</f>
        <v>2</v>
      </c>
      <c r="T13" s="39">
        <v>2</v>
      </c>
      <c r="V13" s="39">
        <f>avv!G11-A13</f>
        <v>1</v>
      </c>
      <c r="W13" s="41">
        <v>2</v>
      </c>
    </row>
    <row r="14" spans="1:23" x14ac:dyDescent="0.3">
      <c r="A14" s="39">
        <v>12</v>
      </c>
      <c r="B14" s="62" t="s">
        <v>17</v>
      </c>
      <c r="C14" s="40"/>
      <c r="D14" s="39">
        <f>avv!A6-A14</f>
        <v>2</v>
      </c>
      <c r="E14" s="54">
        <v>2</v>
      </c>
      <c r="F14" s="40"/>
      <c r="G14" s="39">
        <f>avv!B12-A14</f>
        <v>1</v>
      </c>
      <c r="H14" s="41">
        <v>2</v>
      </c>
      <c r="I14" s="53"/>
      <c r="J14" s="39">
        <f>avv!C12-A14</f>
        <v>1</v>
      </c>
      <c r="K14" s="41">
        <v>3</v>
      </c>
      <c r="L14" s="40"/>
      <c r="M14" s="39">
        <f>avv!D12-A14</f>
        <v>2</v>
      </c>
      <c r="N14" s="41">
        <v>2</v>
      </c>
      <c r="O14" s="40"/>
      <c r="P14" s="39">
        <f>avv!E13-A14</f>
        <v>0</v>
      </c>
      <c r="Q14" s="41">
        <v>3</v>
      </c>
      <c r="R14" s="40"/>
      <c r="S14" s="39">
        <f>avv!F12-A14</f>
        <v>2</v>
      </c>
      <c r="T14" s="39">
        <v>2</v>
      </c>
      <c r="V14" s="39">
        <f>avv!G12-A14</f>
        <v>1</v>
      </c>
      <c r="W14" s="41">
        <v>3</v>
      </c>
    </row>
    <row r="15" spans="1:23" x14ac:dyDescent="0.3">
      <c r="A15" s="39">
        <v>12</v>
      </c>
      <c r="B15" s="62" t="s">
        <v>13</v>
      </c>
      <c r="C15" s="40"/>
      <c r="D15" s="39">
        <f>avv!A13-A15</f>
        <v>-1</v>
      </c>
      <c r="E15" s="54">
        <v>3</v>
      </c>
      <c r="F15" s="53"/>
      <c r="G15" s="39">
        <f>avv!B13-A15</f>
        <v>1</v>
      </c>
      <c r="H15" s="41">
        <v>3</v>
      </c>
      <c r="I15" s="40"/>
      <c r="J15" s="39">
        <f>avv!C13-A15</f>
        <v>1</v>
      </c>
      <c r="K15" s="41">
        <v>2</v>
      </c>
      <c r="L15" s="40"/>
      <c r="M15" s="39">
        <f>avv!D13-A15</f>
        <v>2</v>
      </c>
      <c r="N15" s="41">
        <v>2</v>
      </c>
      <c r="O15" s="40"/>
      <c r="P15" s="39">
        <f>avv!E17-A15</f>
        <v>0</v>
      </c>
      <c r="Q15" s="41">
        <v>3</v>
      </c>
      <c r="R15" s="40"/>
      <c r="S15" s="39">
        <f>avv!F13-A15</f>
        <v>1</v>
      </c>
      <c r="T15" s="39">
        <v>1</v>
      </c>
      <c r="V15" s="39">
        <f>avv!G13-A15</f>
        <v>1</v>
      </c>
      <c r="W15" s="41">
        <v>2</v>
      </c>
    </row>
    <row r="16" spans="1:23" x14ac:dyDescent="0.3">
      <c r="A16" s="39">
        <v>13</v>
      </c>
      <c r="B16" s="60" t="s">
        <v>20</v>
      </c>
      <c r="C16" s="40"/>
      <c r="D16" s="39">
        <f>avv!A15-A16</f>
        <v>-2</v>
      </c>
      <c r="E16" s="54">
        <v>3</v>
      </c>
      <c r="F16" s="40"/>
      <c r="G16" s="39">
        <f>avv!B14-A16</f>
        <v>0</v>
      </c>
      <c r="H16" s="41">
        <v>3</v>
      </c>
      <c r="I16" s="40"/>
      <c r="J16" s="39">
        <f>avv!C15-A16</f>
        <v>0</v>
      </c>
      <c r="K16" s="52">
        <v>1</v>
      </c>
      <c r="L16" s="40"/>
      <c r="M16" s="39">
        <f>avv!D14-A16</f>
        <v>1</v>
      </c>
      <c r="N16" s="41">
        <v>1</v>
      </c>
      <c r="O16" s="40"/>
      <c r="P16" s="39">
        <f>avv!E14-A16</f>
        <v>-1</v>
      </c>
      <c r="Q16" s="52">
        <v>2</v>
      </c>
      <c r="R16" s="40"/>
      <c r="S16" s="39">
        <f>avv!F14-A16</f>
        <v>0</v>
      </c>
      <c r="T16" s="39">
        <v>2</v>
      </c>
      <c r="V16" s="39">
        <f>avv!G14-A16</f>
        <v>0</v>
      </c>
      <c r="W16" s="41">
        <v>1</v>
      </c>
    </row>
    <row r="17" spans="1:23" x14ac:dyDescent="0.3">
      <c r="A17" s="39">
        <v>12</v>
      </c>
      <c r="B17" s="39" t="s">
        <v>16</v>
      </c>
      <c r="C17" s="40"/>
      <c r="D17" s="39">
        <f>avv!A14-A17</f>
        <v>-1</v>
      </c>
      <c r="E17" s="54">
        <v>3</v>
      </c>
      <c r="F17" s="40"/>
      <c r="G17" s="39">
        <f>avv!B16-A17</f>
        <v>1</v>
      </c>
      <c r="H17" s="41">
        <v>3</v>
      </c>
      <c r="I17" s="40"/>
      <c r="J17" s="39">
        <f>avv!C14-A17</f>
        <v>1</v>
      </c>
      <c r="K17" s="41">
        <v>3</v>
      </c>
      <c r="L17" s="40"/>
      <c r="M17" s="39">
        <f>avv!D15-A17</f>
        <v>2</v>
      </c>
      <c r="N17" s="41">
        <v>2</v>
      </c>
      <c r="O17" s="40"/>
      <c r="P17" s="39">
        <f>avv!E15-A17</f>
        <v>0</v>
      </c>
      <c r="Q17" s="41">
        <v>3</v>
      </c>
      <c r="R17" s="40"/>
      <c r="S17" s="39">
        <f>avv!F15-A17</f>
        <v>1</v>
      </c>
      <c r="T17" s="39">
        <v>2</v>
      </c>
      <c r="V17" s="39">
        <f>avv!G15-A17</f>
        <v>1</v>
      </c>
      <c r="W17" s="41">
        <v>3</v>
      </c>
    </row>
    <row r="18" spans="1:23" x14ac:dyDescent="0.3">
      <c r="A18" s="39">
        <v>12</v>
      </c>
      <c r="B18" s="69" t="s">
        <v>43</v>
      </c>
      <c r="C18" s="40"/>
      <c r="D18" s="39">
        <f>avv!A16-A18</f>
        <v>-1</v>
      </c>
      <c r="E18" s="54">
        <v>3</v>
      </c>
      <c r="F18" s="40"/>
      <c r="G18" s="39">
        <f>avv!B17-A18</f>
        <v>1</v>
      </c>
      <c r="H18" s="41">
        <v>3</v>
      </c>
      <c r="I18" s="40"/>
      <c r="J18" s="39">
        <f>avv!C16-A18</f>
        <v>0</v>
      </c>
      <c r="K18" s="41">
        <v>3</v>
      </c>
      <c r="L18" s="40"/>
      <c r="M18" s="39">
        <f>avv!D16-A18</f>
        <v>1</v>
      </c>
      <c r="N18" s="41">
        <v>2</v>
      </c>
      <c r="O18" s="40"/>
      <c r="P18" s="39">
        <f>avv!E16-A18</f>
        <v>0</v>
      </c>
      <c r="Q18" s="41">
        <v>3</v>
      </c>
      <c r="R18" s="40"/>
      <c r="S18" s="39">
        <f>avv!F16-A18</f>
        <v>1</v>
      </c>
      <c r="T18" s="69">
        <v>1</v>
      </c>
      <c r="V18" s="39">
        <f>avv!G16-A18</f>
        <v>1</v>
      </c>
      <c r="W18" s="41">
        <v>1</v>
      </c>
    </row>
    <row r="19" spans="1:23" x14ac:dyDescent="0.3">
      <c r="A19" s="39">
        <v>12</v>
      </c>
      <c r="B19" s="63" t="s">
        <v>19</v>
      </c>
      <c r="C19" s="74"/>
      <c r="D19" s="63"/>
      <c r="E19" s="75"/>
      <c r="F19" s="74"/>
      <c r="G19" s="63"/>
      <c r="H19" s="75"/>
      <c r="I19" s="74"/>
      <c r="J19" s="63"/>
      <c r="K19" s="75"/>
      <c r="L19" s="74"/>
      <c r="M19" s="63"/>
      <c r="N19" s="75"/>
      <c r="O19" s="40"/>
      <c r="P19" s="39">
        <f>avv!E28-A19</f>
        <v>-1</v>
      </c>
      <c r="Q19" s="41">
        <v>1</v>
      </c>
      <c r="R19" s="40"/>
      <c r="S19" s="39">
        <f>avv!F28-A19</f>
        <v>-1</v>
      </c>
      <c r="T19" s="39">
        <v>1</v>
      </c>
      <c r="V19" s="39">
        <f>avv!G17-A19</f>
        <v>1</v>
      </c>
      <c r="W19" s="41">
        <v>1</v>
      </c>
    </row>
    <row r="20" spans="1:23" x14ac:dyDescent="0.3">
      <c r="A20" s="39">
        <v>12</v>
      </c>
      <c r="B20" s="69" t="s">
        <v>27</v>
      </c>
      <c r="C20" s="40"/>
      <c r="D20" s="39">
        <f>avv!A17-A20</f>
        <v>-1</v>
      </c>
      <c r="E20" s="54">
        <v>3</v>
      </c>
      <c r="F20" s="40"/>
      <c r="G20" s="39">
        <f>avv!B18-A20</f>
        <v>1</v>
      </c>
      <c r="H20" s="70">
        <v>1</v>
      </c>
      <c r="J20" s="39">
        <f>avv!C17-A20</f>
        <v>0</v>
      </c>
      <c r="K20" s="39">
        <v>3</v>
      </c>
      <c r="L20" s="40"/>
      <c r="M20" s="39">
        <f>avv!D17-A20</f>
        <v>1</v>
      </c>
      <c r="N20" s="41">
        <v>2</v>
      </c>
      <c r="P20" s="39">
        <f>avv!E17-A20</f>
        <v>0</v>
      </c>
      <c r="Q20" s="39">
        <v>3</v>
      </c>
      <c r="R20" s="40"/>
      <c r="S20" s="39">
        <f>avv!F17-A20</f>
        <v>1</v>
      </c>
      <c r="T20" s="39">
        <v>1</v>
      </c>
      <c r="V20" s="39">
        <f>avv!G18-A20</f>
        <v>1</v>
      </c>
      <c r="W20" s="41">
        <v>2</v>
      </c>
    </row>
    <row r="21" spans="1:23" x14ac:dyDescent="0.3">
      <c r="A21" s="39">
        <v>12</v>
      </c>
      <c r="B21" s="63" t="s">
        <v>44</v>
      </c>
      <c r="C21" s="56"/>
      <c r="D21" s="57"/>
      <c r="E21" s="58"/>
      <c r="F21" s="59"/>
      <c r="G21" s="57"/>
      <c r="H21" s="58"/>
      <c r="I21" s="40"/>
      <c r="J21" s="39">
        <f>avv!C19-A21</f>
        <v>0</v>
      </c>
      <c r="K21" s="41">
        <v>2</v>
      </c>
      <c r="L21" s="40"/>
      <c r="M21" s="39">
        <f>avv!D19-A21</f>
        <v>1</v>
      </c>
      <c r="N21" s="41">
        <v>3</v>
      </c>
      <c r="O21" s="40"/>
      <c r="P21" s="39">
        <f>avv!E19-A21</f>
        <v>0</v>
      </c>
      <c r="Q21" s="41">
        <v>3</v>
      </c>
      <c r="R21" s="40"/>
      <c r="S21" s="39">
        <f>avv!F19-A21</f>
        <v>1</v>
      </c>
      <c r="T21" s="39">
        <v>3</v>
      </c>
      <c r="V21" s="39">
        <f>avv!G19-A21</f>
        <v>1</v>
      </c>
      <c r="W21" s="41">
        <v>2</v>
      </c>
    </row>
    <row r="22" spans="1:23" x14ac:dyDescent="0.3">
      <c r="A22" s="39">
        <v>12</v>
      </c>
      <c r="B22" s="69" t="s">
        <v>22</v>
      </c>
      <c r="C22" s="40"/>
      <c r="D22" s="39">
        <f>avv!A18-A22</f>
        <v>-1</v>
      </c>
      <c r="E22" s="54">
        <v>3</v>
      </c>
      <c r="F22" s="40"/>
      <c r="G22" s="39">
        <f>avv!B19-A22</f>
        <v>0</v>
      </c>
      <c r="H22" s="41">
        <v>3</v>
      </c>
      <c r="I22" s="40"/>
      <c r="J22" s="39">
        <f>avv!C18-A22</f>
        <v>0</v>
      </c>
      <c r="K22" s="41">
        <v>3</v>
      </c>
      <c r="L22" s="40"/>
      <c r="M22" s="39">
        <f>avv!D18-A22</f>
        <v>1</v>
      </c>
      <c r="N22" s="70">
        <v>1</v>
      </c>
      <c r="O22" s="40"/>
      <c r="P22" s="39">
        <f>avv!E18-A22</f>
        <v>0</v>
      </c>
      <c r="Q22" s="41">
        <v>3</v>
      </c>
      <c r="R22" s="40"/>
      <c r="S22" s="39">
        <f>avv!F18-A22</f>
        <v>1</v>
      </c>
      <c r="T22" s="39">
        <v>3</v>
      </c>
      <c r="V22" s="39">
        <f>avv!G20-A22</f>
        <v>1</v>
      </c>
      <c r="W22" s="41">
        <v>1</v>
      </c>
    </row>
    <row r="23" spans="1:23" x14ac:dyDescent="0.3">
      <c r="A23" s="39">
        <v>12</v>
      </c>
      <c r="B23" s="39" t="s">
        <v>45</v>
      </c>
      <c r="C23" s="40"/>
      <c r="D23" s="39">
        <f>avv!A19-A23</f>
        <v>-1</v>
      </c>
      <c r="E23" s="54">
        <v>3</v>
      </c>
      <c r="F23" s="40"/>
      <c r="G23" s="39">
        <f>avv!B20-A23</f>
        <v>0</v>
      </c>
      <c r="H23" s="41">
        <v>3</v>
      </c>
      <c r="I23" s="40"/>
      <c r="J23" s="39">
        <f>avv!C20-A23</f>
        <v>0</v>
      </c>
      <c r="K23" s="42">
        <v>3</v>
      </c>
      <c r="L23" s="40"/>
      <c r="M23" s="39">
        <f>avv!D20-A23</f>
        <v>1</v>
      </c>
      <c r="N23" s="41">
        <v>3</v>
      </c>
      <c r="O23" s="40"/>
      <c r="P23" s="39">
        <f>avv!E22-A23</f>
        <v>-1</v>
      </c>
      <c r="Q23" s="42">
        <v>3</v>
      </c>
      <c r="R23" s="40"/>
      <c r="S23" s="39">
        <f>avv!F20-A23</f>
        <v>0</v>
      </c>
      <c r="T23" s="39">
        <v>3</v>
      </c>
      <c r="V23" s="39">
        <f>avv!G21-A23</f>
        <v>1</v>
      </c>
      <c r="W23" s="42">
        <v>3</v>
      </c>
    </row>
    <row r="24" spans="1:23" x14ac:dyDescent="0.3">
      <c r="A24" s="39">
        <v>12</v>
      </c>
      <c r="B24" s="66" t="s">
        <v>23</v>
      </c>
      <c r="C24" s="65"/>
      <c r="D24" s="66"/>
      <c r="E24" s="67"/>
      <c r="F24" s="65"/>
      <c r="G24" s="66"/>
      <c r="H24" s="67"/>
      <c r="I24" s="65"/>
      <c r="J24" s="66"/>
      <c r="K24" s="67"/>
      <c r="L24" s="40"/>
      <c r="M24" s="39">
        <f>avv!D22-A24</f>
        <v>0</v>
      </c>
      <c r="N24" s="41">
        <v>3</v>
      </c>
      <c r="O24" s="40"/>
      <c r="P24" s="55"/>
      <c r="Q24" s="41"/>
      <c r="R24" s="40"/>
      <c r="S24" s="55">
        <f>avv!F22-A24</f>
        <v>0</v>
      </c>
      <c r="V24" s="39">
        <f>avv!G22-A24</f>
        <v>1</v>
      </c>
      <c r="W24" s="41">
        <v>3</v>
      </c>
    </row>
    <row r="25" spans="1:23" x14ac:dyDescent="0.3">
      <c r="A25" s="39">
        <v>12</v>
      </c>
      <c r="B25" s="55" t="s">
        <v>46</v>
      </c>
      <c r="C25" s="51"/>
      <c r="D25" s="39">
        <f>avv!A29-A25</f>
        <v>-2</v>
      </c>
      <c r="E25" s="54">
        <v>3</v>
      </c>
      <c r="F25" s="51"/>
      <c r="G25" s="39">
        <f>avv!B27-A25</f>
        <v>-1</v>
      </c>
      <c r="H25" s="52">
        <v>2</v>
      </c>
      <c r="I25" s="51"/>
      <c r="J25" s="39">
        <f>avv!C21-A25</f>
        <v>0</v>
      </c>
      <c r="K25" s="41">
        <v>3</v>
      </c>
      <c r="L25" s="40"/>
      <c r="M25" s="55"/>
      <c r="N25" s="41"/>
      <c r="O25" s="40"/>
      <c r="P25" s="39">
        <f>avv!E22-A25</f>
        <v>-1</v>
      </c>
      <c r="Q25" s="52">
        <v>0</v>
      </c>
      <c r="R25" s="40"/>
      <c r="S25" s="55">
        <f>avv!F21-A25</f>
        <v>0</v>
      </c>
      <c r="V25" s="39">
        <f>avv!G23-A25</f>
        <v>1</v>
      </c>
    </row>
    <row r="26" spans="1:23" x14ac:dyDescent="0.3">
      <c r="A26" s="39">
        <v>12</v>
      </c>
      <c r="B26" s="55" t="s">
        <v>24</v>
      </c>
      <c r="C26" s="40"/>
      <c r="D26" s="39">
        <f>avv!A22-A26</f>
        <v>-2</v>
      </c>
      <c r="E26" s="54">
        <v>3</v>
      </c>
      <c r="F26" s="40"/>
      <c r="G26" s="39">
        <f>avv!B23-A26</f>
        <v>0</v>
      </c>
      <c r="H26" s="41">
        <v>3</v>
      </c>
      <c r="I26" s="40"/>
      <c r="K26" s="64"/>
      <c r="L26" s="40"/>
      <c r="M26" s="39">
        <f>avv!D23-A26</f>
        <v>0</v>
      </c>
      <c r="N26" s="41">
        <v>2</v>
      </c>
      <c r="O26" s="40"/>
      <c r="P26" s="39">
        <f>avv!E23-A26</f>
        <v>-1</v>
      </c>
      <c r="Q26" s="41">
        <v>3</v>
      </c>
      <c r="R26" s="40"/>
      <c r="S26" s="55">
        <f>avv!F23-A26</f>
        <v>0</v>
      </c>
      <c r="V26" s="39">
        <f>avv!G24-A26</f>
        <v>0</v>
      </c>
      <c r="W26" s="41">
        <v>2</v>
      </c>
    </row>
    <row r="27" spans="1:23" x14ac:dyDescent="0.3">
      <c r="A27" s="39">
        <v>12</v>
      </c>
      <c r="B27" s="55" t="s">
        <v>47</v>
      </c>
      <c r="C27" s="40"/>
      <c r="D27" s="39">
        <f>avv!A23-A27</f>
        <v>-2</v>
      </c>
      <c r="E27" s="54">
        <v>3</v>
      </c>
      <c r="F27" s="40"/>
      <c r="G27" s="39">
        <f>avv!B24-A27</f>
        <v>0</v>
      </c>
      <c r="H27" s="41">
        <v>3</v>
      </c>
      <c r="J27" s="39">
        <f>avv!C24-A27</f>
        <v>-1</v>
      </c>
      <c r="K27" s="39">
        <v>3</v>
      </c>
      <c r="L27" s="40"/>
      <c r="M27" s="55"/>
      <c r="N27" s="41"/>
      <c r="P27" s="39">
        <f>avv!E25-A27</f>
        <v>-1</v>
      </c>
      <c r="Q27" s="39">
        <v>3</v>
      </c>
      <c r="R27" s="40"/>
      <c r="S27" s="39">
        <f>avv!F24-A27</f>
        <v>0</v>
      </c>
      <c r="T27" s="39">
        <v>3</v>
      </c>
      <c r="V27" s="39">
        <f>avv!G25-A27</f>
        <v>0</v>
      </c>
      <c r="W27" s="41">
        <v>1</v>
      </c>
    </row>
    <row r="28" spans="1:23" x14ac:dyDescent="0.3">
      <c r="A28" s="39">
        <v>12</v>
      </c>
      <c r="B28" s="39" t="s">
        <v>32</v>
      </c>
      <c r="C28" s="40"/>
      <c r="D28" s="39">
        <f>avv!A24-A28</f>
        <v>-2</v>
      </c>
      <c r="E28" s="54">
        <v>3</v>
      </c>
      <c r="F28" s="40"/>
      <c r="G28" s="39">
        <f>avv!B26-A28</f>
        <v>-1</v>
      </c>
      <c r="H28" s="41">
        <v>3</v>
      </c>
      <c r="I28" s="40"/>
      <c r="J28" s="39">
        <f>avv!C25-A28</f>
        <v>-1</v>
      </c>
      <c r="K28" s="41">
        <v>3</v>
      </c>
      <c r="L28" s="40"/>
      <c r="M28" s="39">
        <f>avv!D25-A28</f>
        <v>0</v>
      </c>
      <c r="N28" s="41">
        <v>3</v>
      </c>
      <c r="O28" s="40"/>
      <c r="P28" s="39">
        <f>avv!E25-A28</f>
        <v>-1</v>
      </c>
      <c r="Q28" s="41">
        <v>3</v>
      </c>
      <c r="R28" s="40"/>
      <c r="S28" s="39">
        <f>avv!F25-A28</f>
        <v>0</v>
      </c>
      <c r="T28" s="39">
        <v>3</v>
      </c>
      <c r="V28" s="39">
        <f>avv!G26-A28</f>
        <v>0</v>
      </c>
      <c r="W28" s="41">
        <v>3</v>
      </c>
    </row>
    <row r="29" spans="1:23" x14ac:dyDescent="0.3">
      <c r="A29" s="39">
        <v>12</v>
      </c>
      <c r="B29" s="60" t="s">
        <v>48</v>
      </c>
      <c r="C29" s="40" t="s">
        <v>49</v>
      </c>
      <c r="D29" s="39">
        <f>avv!A11-A29</f>
        <v>-1</v>
      </c>
      <c r="E29" s="54">
        <v>3</v>
      </c>
      <c r="F29" s="40"/>
      <c r="G29" s="39">
        <f>avv!B30-A29</f>
        <v>-5</v>
      </c>
      <c r="H29" s="41">
        <v>3</v>
      </c>
      <c r="I29" s="40"/>
      <c r="J29" s="39">
        <f>avv!C30-A29</f>
        <v>-2</v>
      </c>
      <c r="K29" s="41">
        <v>3</v>
      </c>
      <c r="L29" s="40"/>
      <c r="M29" s="39">
        <f>avv!D26-A29</f>
        <v>0</v>
      </c>
      <c r="N29" s="52">
        <v>1</v>
      </c>
      <c r="O29" s="40"/>
      <c r="P29" s="39">
        <f>avv!E27-A29</f>
        <v>-1</v>
      </c>
      <c r="Q29" s="41">
        <v>3</v>
      </c>
      <c r="R29" s="40"/>
      <c r="S29" s="39">
        <f>avv!F26-A29</f>
        <v>-1</v>
      </c>
      <c r="T29" s="39">
        <v>3</v>
      </c>
      <c r="V29" s="39">
        <f>avv!G27-A29</f>
        <v>0</v>
      </c>
      <c r="W29" s="41">
        <v>3</v>
      </c>
    </row>
    <row r="30" spans="1:23" x14ac:dyDescent="0.3">
      <c r="A30" s="39">
        <v>12</v>
      </c>
      <c r="B30" s="39" t="s">
        <v>28</v>
      </c>
      <c r="C30" s="40"/>
      <c r="D30" s="39">
        <f>avv!A25-A30</f>
        <v>-2</v>
      </c>
      <c r="E30" s="54">
        <v>3</v>
      </c>
      <c r="F30" s="40">
        <v>1</v>
      </c>
      <c r="G30" s="39">
        <f>avv!B25-A30</f>
        <v>-1</v>
      </c>
      <c r="H30" s="41">
        <v>3</v>
      </c>
      <c r="I30" s="40"/>
      <c r="J30" s="39">
        <f>avv!C26-A30</f>
        <v>-1</v>
      </c>
      <c r="K30" s="41">
        <v>3</v>
      </c>
      <c r="L30" s="40"/>
      <c r="M30" s="39">
        <f>avv!D27-A30</f>
        <v>0</v>
      </c>
      <c r="N30" s="41">
        <v>3</v>
      </c>
      <c r="O30" s="40"/>
      <c r="P30" s="39">
        <f>avv!E28-A30</f>
        <v>-1</v>
      </c>
      <c r="Q30" s="41">
        <v>3</v>
      </c>
      <c r="R30" s="40"/>
      <c r="S30" s="39">
        <f>avv!F27-A30</f>
        <v>-1</v>
      </c>
      <c r="T30" s="39">
        <v>3</v>
      </c>
      <c r="V30" s="39">
        <f>avv!G28-A30</f>
        <v>0</v>
      </c>
      <c r="W30" s="41">
        <v>1</v>
      </c>
    </row>
    <row r="31" spans="1:23" x14ac:dyDescent="0.3">
      <c r="A31" s="39">
        <v>12</v>
      </c>
      <c r="B31" s="39" t="s">
        <v>36</v>
      </c>
      <c r="C31" s="40"/>
      <c r="D31" s="39">
        <f>avv!A28-A31</f>
        <v>-2</v>
      </c>
      <c r="E31" s="54">
        <v>3</v>
      </c>
      <c r="F31" s="40"/>
      <c r="G31" s="39">
        <f>avv!B28-A31</f>
        <v>-3</v>
      </c>
      <c r="H31" s="41">
        <v>3</v>
      </c>
      <c r="I31" s="40"/>
      <c r="J31" s="39">
        <f>avv!C28-A31</f>
        <v>-1</v>
      </c>
      <c r="K31" s="41">
        <v>3</v>
      </c>
      <c r="L31" s="40"/>
      <c r="M31" s="39">
        <f>avv!D29-A31</f>
        <v>-1</v>
      </c>
      <c r="N31" s="41">
        <v>3</v>
      </c>
      <c r="O31" s="40"/>
      <c r="P31" s="39">
        <f>avv!E29-A31</f>
        <v>-1</v>
      </c>
      <c r="Q31" s="41">
        <v>3</v>
      </c>
      <c r="R31" s="40"/>
      <c r="S31" s="39">
        <f>avv!F29-A31</f>
        <v>-2</v>
      </c>
      <c r="T31" s="39">
        <v>3</v>
      </c>
      <c r="V31" s="39">
        <f>avv!G29-A31</f>
        <v>0</v>
      </c>
      <c r="W31" s="77">
        <v>2</v>
      </c>
    </row>
    <row r="32" spans="1:23" ht="15.75" customHeight="1" thickBot="1" x14ac:dyDescent="0.35">
      <c r="A32" s="39">
        <v>12</v>
      </c>
      <c r="B32" s="55" t="s">
        <v>50</v>
      </c>
      <c r="C32" s="40"/>
      <c r="D32" s="39">
        <f>avv!A27-A32</f>
        <v>-2</v>
      </c>
      <c r="E32" s="54">
        <v>3</v>
      </c>
      <c r="F32" s="40"/>
      <c r="G32" s="39">
        <f>avv!B29-A32</f>
        <v>-4</v>
      </c>
      <c r="H32" s="41">
        <v>3</v>
      </c>
      <c r="I32" s="40"/>
      <c r="J32" s="39">
        <f>avv!C29-A32</f>
        <v>-1</v>
      </c>
      <c r="K32" s="41">
        <v>3</v>
      </c>
      <c r="L32" s="40"/>
      <c r="M32" s="55"/>
      <c r="N32" s="41"/>
      <c r="O32" s="40"/>
      <c r="P32" s="55"/>
      <c r="Q32" s="41"/>
      <c r="R32" s="40"/>
      <c r="S32" s="39">
        <f>avv!F30-A32</f>
        <v>-2</v>
      </c>
      <c r="T32" s="39">
        <v>3</v>
      </c>
      <c r="V32" s="39">
        <f>avv!G30-A32</f>
        <v>-3</v>
      </c>
      <c r="W32" s="41">
        <v>3</v>
      </c>
    </row>
    <row r="33" spans="1:29" ht="15.75" customHeight="1" thickBot="1" x14ac:dyDescent="0.35">
      <c r="A33" s="43"/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  <c r="X33" s="43"/>
      <c r="Y33" s="43"/>
      <c r="Z33" s="43"/>
      <c r="AA33" s="43"/>
      <c r="AB33" s="43"/>
      <c r="AC33" s="43"/>
    </row>
    <row r="34" spans="1:29" hidden="1" outlineLevel="1" x14ac:dyDescent="0.3">
      <c r="A34" s="39">
        <v>12</v>
      </c>
      <c r="B34" s="55" t="s">
        <v>51</v>
      </c>
      <c r="C34" s="40"/>
      <c r="D34" s="39">
        <f>avv!A30-A34</f>
        <v>-2</v>
      </c>
      <c r="E34" s="54">
        <v>3</v>
      </c>
      <c r="F34" s="40"/>
      <c r="G34" s="55"/>
      <c r="H34" s="41"/>
      <c r="I34" s="40"/>
      <c r="K34" s="64"/>
      <c r="L34" s="40"/>
      <c r="M34" s="55"/>
      <c r="N34" s="41"/>
      <c r="O34" s="40"/>
      <c r="P34" s="39">
        <f>avv!E32-A34</f>
        <v>-12</v>
      </c>
      <c r="Q34" s="41"/>
      <c r="R34" s="40"/>
      <c r="S34" s="39">
        <f>avv!F32-A34</f>
        <v>-12</v>
      </c>
      <c r="V34" s="39">
        <f>avv!G32-A34</f>
        <v>-12</v>
      </c>
    </row>
    <row r="35" spans="1:29" hidden="1" outlineLevel="1" x14ac:dyDescent="0.3">
      <c r="A35" s="39">
        <v>13</v>
      </c>
      <c r="B35" s="55" t="s">
        <v>52</v>
      </c>
      <c r="C35" s="40"/>
      <c r="D35" s="55"/>
      <c r="E35" s="41"/>
      <c r="F35" s="40"/>
      <c r="G35" s="55"/>
      <c r="H35" s="41"/>
      <c r="I35" s="40"/>
      <c r="K35" s="64"/>
      <c r="L35" s="40"/>
      <c r="N35" s="41"/>
      <c r="O35" s="40"/>
      <c r="Q35" s="41"/>
      <c r="R35" s="40"/>
    </row>
    <row r="36" spans="1:29" ht="15.75" hidden="1" customHeight="1" outlineLevel="1" thickBot="1" x14ac:dyDescent="0.35">
      <c r="A36" s="39">
        <v>12</v>
      </c>
      <c r="B36" s="55" t="s">
        <v>53</v>
      </c>
      <c r="C36" s="40"/>
      <c r="D36" s="55"/>
      <c r="E36" s="41"/>
      <c r="F36" s="40"/>
      <c r="G36" s="55"/>
      <c r="H36" s="41"/>
      <c r="I36" s="40"/>
      <c r="K36" s="64"/>
      <c r="L36" s="40"/>
      <c r="N36" s="41"/>
      <c r="O36" s="40"/>
      <c r="Q36" s="41"/>
      <c r="R36" s="40"/>
    </row>
    <row r="37" spans="1:29" ht="15.75" customHeight="1" collapsed="1" thickBot="1" x14ac:dyDescent="0.35">
      <c r="A37" s="43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72"/>
      <c r="U37" s="73"/>
      <c r="V37" s="43"/>
      <c r="W37" s="43"/>
      <c r="X37" s="43"/>
      <c r="Y37" s="43"/>
      <c r="Z37" s="43"/>
      <c r="AA37" s="43"/>
      <c r="AB37" s="43"/>
      <c r="AC37" s="43"/>
    </row>
    <row r="38" spans="1:29" ht="15.75" customHeight="1" thickBot="1" x14ac:dyDescent="0.35">
      <c r="A38" s="44"/>
      <c r="B38" s="45" t="s">
        <v>37</v>
      </c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72"/>
      <c r="U38" s="73"/>
      <c r="V38" s="43"/>
      <c r="W38" s="43"/>
      <c r="X38" s="43"/>
      <c r="Y38" s="43"/>
      <c r="Z38" s="43"/>
      <c r="AA38" s="43"/>
      <c r="AB38" s="43"/>
      <c r="AC38" s="43"/>
    </row>
    <row r="39" spans="1:29" ht="15.75" customHeight="1" thickBot="1" x14ac:dyDescent="0.35">
      <c r="A39" s="46"/>
      <c r="B39" s="45" t="s">
        <v>38</v>
      </c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72"/>
      <c r="U39" s="73"/>
      <c r="V39" s="43"/>
      <c r="W39" s="43"/>
      <c r="X39" s="43"/>
      <c r="Y39" s="43"/>
      <c r="Z39" s="43"/>
      <c r="AA39" s="43"/>
      <c r="AB39" s="43"/>
      <c r="AC39" s="43"/>
    </row>
    <row r="40" spans="1:29" ht="15.75" customHeight="1" thickBot="1" x14ac:dyDescent="0.35">
      <c r="A40" s="47"/>
      <c r="B40" s="45" t="s">
        <v>39</v>
      </c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72"/>
      <c r="U40" s="73"/>
      <c r="V40" s="43"/>
      <c r="W40" s="43"/>
      <c r="X40" s="43"/>
      <c r="Y40" s="43"/>
      <c r="Z40" s="43"/>
      <c r="AA40" s="43"/>
      <c r="AB40" s="43"/>
      <c r="AC40" s="43"/>
    </row>
    <row r="41" spans="1:29" ht="15.75" customHeight="1" thickBot="1" x14ac:dyDescent="0.35">
      <c r="A41" s="48"/>
      <c r="B41" s="45" t="s">
        <v>54</v>
      </c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72"/>
      <c r="U41" s="73"/>
      <c r="V41" s="43"/>
      <c r="W41" s="43"/>
      <c r="X41" s="43"/>
      <c r="Y41" s="43"/>
      <c r="Z41" s="43"/>
      <c r="AA41" s="43"/>
      <c r="AB41" s="43"/>
      <c r="AC41" s="43"/>
    </row>
    <row r="42" spans="1:29" ht="15.75" customHeight="1" thickBot="1" x14ac:dyDescent="0.35">
      <c r="A42" s="49"/>
      <c r="B42" s="45" t="s">
        <v>55</v>
      </c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72"/>
      <c r="U42" s="73"/>
      <c r="V42" s="43"/>
      <c r="W42" s="43"/>
      <c r="X42" s="43"/>
      <c r="Y42" s="43"/>
      <c r="Z42" s="43"/>
      <c r="AA42" s="43"/>
      <c r="AB42" s="43"/>
      <c r="AC42" s="43"/>
    </row>
    <row r="43" spans="1:29" ht="15.75" customHeight="1" thickBot="1" x14ac:dyDescent="0.35">
      <c r="A43" s="71"/>
      <c r="B43" s="45" t="s">
        <v>56</v>
      </c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72"/>
      <c r="U43" s="73"/>
      <c r="V43" s="43"/>
      <c r="W43" s="43"/>
      <c r="X43" s="43"/>
      <c r="Y43" s="43"/>
      <c r="Z43" s="43"/>
      <c r="AA43" s="43"/>
      <c r="AB43" s="43"/>
      <c r="AC43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2"/>
  <sheetViews>
    <sheetView workbookViewId="0">
      <selection activeCell="K17" sqref="K17"/>
    </sheetView>
  </sheetViews>
  <sheetFormatPr defaultColWidth="9.109375" defaultRowHeight="14.4" x14ac:dyDescent="0.3"/>
  <cols>
    <col min="1" max="1" width="9.109375" style="68" customWidth="1"/>
    <col min="2" max="16384" width="9.109375" style="68"/>
  </cols>
  <sheetData>
    <row r="1" spans="1:8" x14ac:dyDescent="0.3">
      <c r="A1" s="68">
        <v>15</v>
      </c>
      <c r="B1" s="68">
        <v>18</v>
      </c>
      <c r="C1" s="68">
        <v>18</v>
      </c>
      <c r="D1" s="68">
        <v>17</v>
      </c>
      <c r="E1" s="68">
        <v>17</v>
      </c>
      <c r="F1" s="68">
        <v>16</v>
      </c>
      <c r="G1" s="68">
        <v>15</v>
      </c>
      <c r="H1" s="76"/>
    </row>
    <row r="2" spans="1:8" x14ac:dyDescent="0.3">
      <c r="A2" s="68">
        <v>15</v>
      </c>
      <c r="B2" s="68">
        <v>16</v>
      </c>
      <c r="C2" s="68">
        <v>17</v>
      </c>
      <c r="D2" s="68">
        <v>16</v>
      </c>
      <c r="E2" s="68">
        <v>17</v>
      </c>
      <c r="F2" s="68">
        <v>16</v>
      </c>
      <c r="G2" s="68">
        <v>15</v>
      </c>
      <c r="H2" s="76"/>
    </row>
    <row r="3" spans="1:8" x14ac:dyDescent="0.3">
      <c r="A3" s="68">
        <v>15</v>
      </c>
      <c r="B3" s="68">
        <v>15</v>
      </c>
      <c r="C3" s="68">
        <v>17</v>
      </c>
      <c r="D3" s="68">
        <v>15</v>
      </c>
      <c r="E3" s="68">
        <v>17</v>
      </c>
      <c r="F3" s="68">
        <v>15</v>
      </c>
      <c r="G3" s="68">
        <v>14</v>
      </c>
      <c r="H3" s="76"/>
    </row>
    <row r="4" spans="1:8" x14ac:dyDescent="0.3">
      <c r="A4" s="68">
        <v>15</v>
      </c>
      <c r="B4" s="68">
        <v>15</v>
      </c>
      <c r="C4" s="68">
        <v>17</v>
      </c>
      <c r="D4" s="68">
        <v>15</v>
      </c>
      <c r="E4" s="68">
        <v>15</v>
      </c>
      <c r="F4" s="68">
        <v>15</v>
      </c>
      <c r="G4" s="68">
        <v>14</v>
      </c>
      <c r="H4" s="76"/>
    </row>
    <row r="5" spans="1:8" x14ac:dyDescent="0.3">
      <c r="A5" s="68">
        <v>14</v>
      </c>
      <c r="B5" s="68">
        <v>15</v>
      </c>
      <c r="C5" s="68">
        <v>15</v>
      </c>
      <c r="D5" s="68">
        <v>15</v>
      </c>
      <c r="E5" s="68">
        <v>15</v>
      </c>
      <c r="F5" s="68">
        <v>15</v>
      </c>
      <c r="G5" s="68">
        <v>14</v>
      </c>
      <c r="H5" s="76"/>
    </row>
    <row r="6" spans="1:8" x14ac:dyDescent="0.3">
      <c r="A6" s="68">
        <v>14</v>
      </c>
      <c r="B6" s="68">
        <v>15</v>
      </c>
      <c r="C6" s="68">
        <v>15</v>
      </c>
      <c r="D6" s="68">
        <v>15</v>
      </c>
      <c r="E6" s="68">
        <v>13</v>
      </c>
      <c r="F6" s="68">
        <v>15</v>
      </c>
      <c r="G6" s="68">
        <v>13</v>
      </c>
      <c r="H6" s="76"/>
    </row>
    <row r="7" spans="1:8" x14ac:dyDescent="0.3">
      <c r="A7" s="68">
        <v>14</v>
      </c>
      <c r="B7" s="68">
        <v>15</v>
      </c>
      <c r="C7" s="68">
        <v>15</v>
      </c>
      <c r="D7" s="68">
        <v>15</v>
      </c>
      <c r="E7" s="68">
        <v>13</v>
      </c>
      <c r="F7" s="68">
        <v>15</v>
      </c>
      <c r="G7" s="68">
        <v>13</v>
      </c>
      <c r="H7" s="76"/>
    </row>
    <row r="8" spans="1:8" x14ac:dyDescent="0.3">
      <c r="A8" s="68">
        <v>13</v>
      </c>
      <c r="B8" s="68">
        <v>15</v>
      </c>
      <c r="C8" s="68">
        <v>14</v>
      </c>
      <c r="D8" s="68">
        <v>15</v>
      </c>
      <c r="E8" s="68">
        <v>13</v>
      </c>
      <c r="F8" s="68">
        <v>15</v>
      </c>
      <c r="G8" s="68">
        <v>13</v>
      </c>
      <c r="H8" s="76"/>
    </row>
    <row r="9" spans="1:8" x14ac:dyDescent="0.3">
      <c r="A9" s="68">
        <v>12</v>
      </c>
      <c r="B9" s="68">
        <v>14</v>
      </c>
      <c r="C9" s="68">
        <v>14</v>
      </c>
      <c r="D9" s="68">
        <v>14</v>
      </c>
      <c r="E9" s="68">
        <v>12</v>
      </c>
      <c r="F9" s="68">
        <v>15</v>
      </c>
      <c r="G9" s="68">
        <v>13</v>
      </c>
      <c r="H9" s="76"/>
    </row>
    <row r="10" spans="1:8" x14ac:dyDescent="0.3">
      <c r="A10" s="68">
        <v>12</v>
      </c>
      <c r="B10" s="68">
        <v>14</v>
      </c>
      <c r="C10" s="68">
        <v>14</v>
      </c>
      <c r="D10" s="68">
        <v>14</v>
      </c>
      <c r="E10" s="68">
        <v>12</v>
      </c>
      <c r="F10" s="68">
        <v>14</v>
      </c>
      <c r="G10" s="68">
        <v>13</v>
      </c>
      <c r="H10" s="76"/>
    </row>
    <row r="11" spans="1:8" x14ac:dyDescent="0.3">
      <c r="A11" s="68">
        <v>11</v>
      </c>
      <c r="B11" s="68">
        <v>13</v>
      </c>
      <c r="C11" s="68">
        <v>13</v>
      </c>
      <c r="D11" s="68">
        <v>14</v>
      </c>
      <c r="E11" s="68">
        <v>12</v>
      </c>
      <c r="F11" s="68">
        <v>14</v>
      </c>
      <c r="G11" s="68">
        <v>13</v>
      </c>
      <c r="H11" s="76"/>
    </row>
    <row r="12" spans="1:8" x14ac:dyDescent="0.3">
      <c r="A12" s="68">
        <v>11</v>
      </c>
      <c r="B12" s="68">
        <v>13</v>
      </c>
      <c r="C12" s="68">
        <v>13</v>
      </c>
      <c r="D12" s="68">
        <v>14</v>
      </c>
      <c r="E12" s="68">
        <v>12</v>
      </c>
      <c r="F12" s="68">
        <v>14</v>
      </c>
      <c r="G12" s="68">
        <v>13</v>
      </c>
      <c r="H12" s="76"/>
    </row>
    <row r="13" spans="1:8" x14ac:dyDescent="0.3">
      <c r="A13" s="68">
        <v>11</v>
      </c>
      <c r="B13" s="68">
        <v>13</v>
      </c>
      <c r="C13" s="68">
        <v>13</v>
      </c>
      <c r="D13" s="68">
        <v>14</v>
      </c>
      <c r="E13" s="68">
        <v>12</v>
      </c>
      <c r="F13" s="68">
        <v>13</v>
      </c>
      <c r="G13" s="68">
        <v>13</v>
      </c>
      <c r="H13" s="76"/>
    </row>
    <row r="14" spans="1:8" x14ac:dyDescent="0.3">
      <c r="A14" s="68">
        <v>11</v>
      </c>
      <c r="B14" s="68">
        <v>13</v>
      </c>
      <c r="C14" s="68">
        <v>13</v>
      </c>
      <c r="D14" s="68">
        <v>14</v>
      </c>
      <c r="E14" s="68">
        <v>12</v>
      </c>
      <c r="F14" s="68">
        <v>13</v>
      </c>
      <c r="G14" s="68">
        <v>13</v>
      </c>
      <c r="H14" s="76"/>
    </row>
    <row r="15" spans="1:8" x14ac:dyDescent="0.3">
      <c r="A15" s="68">
        <v>11</v>
      </c>
      <c r="B15" s="68">
        <v>13</v>
      </c>
      <c r="C15" s="68">
        <v>13</v>
      </c>
      <c r="D15" s="68">
        <v>14</v>
      </c>
      <c r="E15" s="68">
        <v>12</v>
      </c>
      <c r="F15" s="68">
        <v>13</v>
      </c>
      <c r="G15" s="68">
        <v>13</v>
      </c>
      <c r="H15" s="76"/>
    </row>
    <row r="16" spans="1:8" x14ac:dyDescent="0.3">
      <c r="A16" s="68">
        <v>11</v>
      </c>
      <c r="B16" s="68">
        <v>13</v>
      </c>
      <c r="C16" s="68">
        <v>12</v>
      </c>
      <c r="D16" s="68">
        <v>13</v>
      </c>
      <c r="E16" s="68">
        <v>12</v>
      </c>
      <c r="F16" s="68">
        <v>13</v>
      </c>
      <c r="G16" s="68">
        <v>13</v>
      </c>
      <c r="H16" s="76"/>
    </row>
    <row r="17" spans="1:8" x14ac:dyDescent="0.3">
      <c r="A17" s="68">
        <v>11</v>
      </c>
      <c r="B17" s="68">
        <v>13</v>
      </c>
      <c r="C17" s="68">
        <v>12</v>
      </c>
      <c r="D17" s="68">
        <v>13</v>
      </c>
      <c r="E17" s="68">
        <v>12</v>
      </c>
      <c r="F17" s="68">
        <v>13</v>
      </c>
      <c r="G17" s="68">
        <v>13</v>
      </c>
      <c r="H17" s="76"/>
    </row>
    <row r="18" spans="1:8" x14ac:dyDescent="0.3">
      <c r="A18" s="68">
        <v>11</v>
      </c>
      <c r="B18" s="68">
        <v>13</v>
      </c>
      <c r="C18" s="68">
        <v>12</v>
      </c>
      <c r="D18" s="68">
        <v>13</v>
      </c>
      <c r="E18" s="68">
        <v>12</v>
      </c>
      <c r="F18" s="68">
        <v>13</v>
      </c>
      <c r="G18" s="68">
        <v>13</v>
      </c>
      <c r="H18" s="76"/>
    </row>
    <row r="19" spans="1:8" x14ac:dyDescent="0.3">
      <c r="A19" s="68">
        <v>11</v>
      </c>
      <c r="B19" s="68">
        <v>12</v>
      </c>
      <c r="C19" s="68">
        <v>12</v>
      </c>
      <c r="D19" s="68">
        <v>13</v>
      </c>
      <c r="E19" s="68">
        <v>12</v>
      </c>
      <c r="F19" s="68">
        <v>13</v>
      </c>
      <c r="G19" s="68">
        <v>13</v>
      </c>
      <c r="H19" s="76"/>
    </row>
    <row r="20" spans="1:8" x14ac:dyDescent="0.3">
      <c r="A20" s="68">
        <v>10</v>
      </c>
      <c r="B20" s="68">
        <v>12</v>
      </c>
      <c r="C20" s="68">
        <v>12</v>
      </c>
      <c r="D20" s="68">
        <v>13</v>
      </c>
      <c r="E20" s="68">
        <v>12</v>
      </c>
      <c r="F20" s="68">
        <v>12</v>
      </c>
      <c r="G20" s="68">
        <v>13</v>
      </c>
      <c r="H20" s="76"/>
    </row>
    <row r="21" spans="1:8" x14ac:dyDescent="0.3">
      <c r="A21" s="68">
        <v>10</v>
      </c>
      <c r="B21" s="68">
        <v>12</v>
      </c>
      <c r="C21" s="68">
        <v>12</v>
      </c>
      <c r="D21" s="68">
        <v>13</v>
      </c>
      <c r="E21" s="68">
        <v>11</v>
      </c>
      <c r="F21" s="68">
        <v>12</v>
      </c>
      <c r="G21" s="68">
        <v>13</v>
      </c>
      <c r="H21" s="76"/>
    </row>
    <row r="22" spans="1:8" x14ac:dyDescent="0.3">
      <c r="A22" s="68">
        <v>10</v>
      </c>
      <c r="B22" s="68">
        <v>12</v>
      </c>
      <c r="C22" s="68">
        <v>11</v>
      </c>
      <c r="D22" s="68">
        <v>12</v>
      </c>
      <c r="E22" s="68">
        <v>11</v>
      </c>
      <c r="F22" s="68">
        <v>12</v>
      </c>
      <c r="G22" s="68">
        <v>13</v>
      </c>
      <c r="H22" s="76"/>
    </row>
    <row r="23" spans="1:8" x14ac:dyDescent="0.3">
      <c r="A23" s="68">
        <v>10</v>
      </c>
      <c r="B23" s="68">
        <v>12</v>
      </c>
      <c r="C23" s="68">
        <v>11</v>
      </c>
      <c r="D23" s="68">
        <v>12</v>
      </c>
      <c r="E23" s="68">
        <v>11</v>
      </c>
      <c r="F23" s="68">
        <v>12</v>
      </c>
      <c r="G23" s="68">
        <v>13</v>
      </c>
      <c r="H23" s="76"/>
    </row>
    <row r="24" spans="1:8" x14ac:dyDescent="0.3">
      <c r="A24" s="68">
        <v>10</v>
      </c>
      <c r="B24" s="68">
        <v>12</v>
      </c>
      <c r="C24" s="68">
        <v>11</v>
      </c>
      <c r="D24" s="68">
        <v>12</v>
      </c>
      <c r="E24" s="68">
        <v>11</v>
      </c>
      <c r="F24" s="68">
        <v>12</v>
      </c>
      <c r="G24" s="68">
        <v>12</v>
      </c>
      <c r="H24" s="76"/>
    </row>
    <row r="25" spans="1:8" x14ac:dyDescent="0.3">
      <c r="A25" s="68">
        <v>10</v>
      </c>
      <c r="B25" s="68">
        <v>11</v>
      </c>
      <c r="C25" s="68">
        <v>11</v>
      </c>
      <c r="D25" s="68">
        <v>12</v>
      </c>
      <c r="E25" s="68">
        <v>11</v>
      </c>
      <c r="F25" s="68">
        <v>12</v>
      </c>
      <c r="G25" s="68">
        <v>12</v>
      </c>
      <c r="H25" s="76"/>
    </row>
    <row r="26" spans="1:8" x14ac:dyDescent="0.3">
      <c r="A26" s="68">
        <v>10</v>
      </c>
      <c r="B26" s="68">
        <v>11</v>
      </c>
      <c r="C26" s="68">
        <v>11</v>
      </c>
      <c r="D26" s="68">
        <v>12</v>
      </c>
      <c r="E26" s="68">
        <v>11</v>
      </c>
      <c r="F26" s="68">
        <v>11</v>
      </c>
      <c r="G26" s="68">
        <v>12</v>
      </c>
      <c r="H26" s="76"/>
    </row>
    <row r="27" spans="1:8" x14ac:dyDescent="0.3">
      <c r="A27" s="68">
        <v>10</v>
      </c>
      <c r="B27" s="68">
        <v>11</v>
      </c>
      <c r="C27" s="68">
        <v>11</v>
      </c>
      <c r="D27" s="68">
        <v>12</v>
      </c>
      <c r="E27" s="68">
        <v>11</v>
      </c>
      <c r="F27" s="68">
        <v>11</v>
      </c>
      <c r="G27" s="68">
        <v>12</v>
      </c>
      <c r="H27" s="76"/>
    </row>
    <row r="28" spans="1:8" x14ac:dyDescent="0.3">
      <c r="A28" s="68">
        <v>10</v>
      </c>
      <c r="B28" s="68">
        <v>9</v>
      </c>
      <c r="C28" s="68">
        <v>11</v>
      </c>
      <c r="D28" s="68">
        <v>12</v>
      </c>
      <c r="E28" s="68">
        <v>11</v>
      </c>
      <c r="F28" s="68">
        <v>11</v>
      </c>
      <c r="G28" s="68">
        <v>12</v>
      </c>
      <c r="H28" s="76"/>
    </row>
    <row r="29" spans="1:8" x14ac:dyDescent="0.3">
      <c r="A29" s="68">
        <v>10</v>
      </c>
      <c r="B29" s="68">
        <v>8</v>
      </c>
      <c r="C29" s="68">
        <v>11</v>
      </c>
      <c r="D29" s="68">
        <v>11</v>
      </c>
      <c r="E29" s="68">
        <v>11</v>
      </c>
      <c r="F29" s="68">
        <v>10</v>
      </c>
      <c r="G29" s="68">
        <v>12</v>
      </c>
      <c r="H29" s="76"/>
    </row>
    <row r="30" spans="1:8" x14ac:dyDescent="0.3">
      <c r="A30" s="68">
        <v>10</v>
      </c>
      <c r="B30" s="68">
        <v>7</v>
      </c>
      <c r="C30" s="68">
        <v>10</v>
      </c>
      <c r="D30" s="68">
        <v>10</v>
      </c>
      <c r="E30" s="68">
        <v>8</v>
      </c>
      <c r="F30" s="68">
        <v>10</v>
      </c>
      <c r="G30" s="68">
        <v>9</v>
      </c>
      <c r="H30" s="76"/>
    </row>
    <row r="31" spans="1:8" ht="15.75" customHeight="1" thickBot="1" x14ac:dyDescent="0.35">
      <c r="A31" s="76"/>
      <c r="B31" s="76"/>
      <c r="C31" s="76"/>
      <c r="D31" s="76"/>
      <c r="E31" s="76"/>
      <c r="F31" s="76"/>
      <c r="G31" s="76"/>
      <c r="H31" s="76"/>
    </row>
    <row r="32" spans="1:8" ht="15.75" customHeight="1" thickBot="1" x14ac:dyDescent="0.35">
      <c r="A32" s="93" t="s">
        <v>57</v>
      </c>
      <c r="B32" s="91"/>
      <c r="C32" s="91"/>
      <c r="D32" s="91"/>
      <c r="E32" s="91"/>
      <c r="F32" s="91"/>
      <c r="G32" s="91"/>
      <c r="H32" s="92"/>
    </row>
  </sheetData>
  <mergeCells count="1">
    <mergeCell ref="A32:H3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29"/>
  <sheetViews>
    <sheetView workbookViewId="0">
      <selection activeCell="S20" sqref="S20"/>
    </sheetView>
  </sheetViews>
  <sheetFormatPr defaultRowHeight="14.4" x14ac:dyDescent="0.3"/>
  <sheetData>
    <row r="1" spans="1:19" x14ac:dyDescent="0.3">
      <c r="A1">
        <v>16</v>
      </c>
      <c r="B1" t="s">
        <v>4</v>
      </c>
      <c r="S1" t="s">
        <v>182</v>
      </c>
    </row>
    <row r="2" spans="1:19" x14ac:dyDescent="0.3">
      <c r="A2">
        <v>15</v>
      </c>
      <c r="B2" t="s">
        <v>41</v>
      </c>
      <c r="S2" t="s">
        <v>45</v>
      </c>
    </row>
    <row r="3" spans="1:19" x14ac:dyDescent="0.3">
      <c r="A3">
        <v>15</v>
      </c>
      <c r="B3" t="s">
        <v>6</v>
      </c>
      <c r="I3">
        <v>13</v>
      </c>
      <c r="J3" t="s">
        <v>8</v>
      </c>
      <c r="S3" t="s">
        <v>10</v>
      </c>
    </row>
    <row r="4" spans="1:19" x14ac:dyDescent="0.3">
      <c r="A4">
        <v>13</v>
      </c>
      <c r="B4" t="s">
        <v>10</v>
      </c>
      <c r="E4" t="s">
        <v>58</v>
      </c>
      <c r="I4">
        <v>13</v>
      </c>
      <c r="J4" t="s">
        <v>59</v>
      </c>
      <c r="S4" t="s">
        <v>17</v>
      </c>
    </row>
    <row r="5" spans="1:19" x14ac:dyDescent="0.3">
      <c r="A5">
        <v>13</v>
      </c>
      <c r="B5" t="s">
        <v>12</v>
      </c>
      <c r="E5" t="s">
        <v>60</v>
      </c>
      <c r="I5">
        <v>13</v>
      </c>
      <c r="J5" t="s">
        <v>61</v>
      </c>
      <c r="S5" t="s">
        <v>27</v>
      </c>
    </row>
    <row r="6" spans="1:19" x14ac:dyDescent="0.3">
      <c r="A6">
        <v>13</v>
      </c>
      <c r="B6" t="s">
        <v>42</v>
      </c>
      <c r="E6" t="s">
        <v>62</v>
      </c>
      <c r="I6">
        <v>12</v>
      </c>
      <c r="J6" t="s">
        <v>63</v>
      </c>
      <c r="S6" t="s">
        <v>32</v>
      </c>
    </row>
    <row r="7" spans="1:19" x14ac:dyDescent="0.3">
      <c r="A7">
        <v>13</v>
      </c>
      <c r="B7" t="s">
        <v>7</v>
      </c>
      <c r="I7">
        <v>12</v>
      </c>
      <c r="J7" t="s">
        <v>64</v>
      </c>
      <c r="S7" t="s">
        <v>16</v>
      </c>
    </row>
    <row r="8" spans="1:19" x14ac:dyDescent="0.3">
      <c r="A8">
        <v>13</v>
      </c>
      <c r="B8" t="s">
        <v>18</v>
      </c>
      <c r="S8" t="s">
        <v>22</v>
      </c>
    </row>
    <row r="9" spans="1:19" x14ac:dyDescent="0.3">
      <c r="A9">
        <v>13</v>
      </c>
      <c r="B9" t="s">
        <v>52</v>
      </c>
      <c r="I9">
        <v>12</v>
      </c>
      <c r="J9" t="s">
        <v>65</v>
      </c>
      <c r="S9" t="s">
        <v>58</v>
      </c>
    </row>
    <row r="10" spans="1:19" x14ac:dyDescent="0.3">
      <c r="A10">
        <v>13</v>
      </c>
      <c r="B10" t="s">
        <v>11</v>
      </c>
      <c r="S10" t="s">
        <v>189</v>
      </c>
    </row>
    <row r="11" spans="1:19" x14ac:dyDescent="0.3">
      <c r="A11">
        <v>13</v>
      </c>
      <c r="B11" t="s">
        <v>20</v>
      </c>
      <c r="I11">
        <v>12</v>
      </c>
      <c r="J11" t="s">
        <v>23</v>
      </c>
      <c r="S11" t="s">
        <v>184</v>
      </c>
    </row>
    <row r="12" spans="1:19" x14ac:dyDescent="0.3">
      <c r="A12">
        <v>12</v>
      </c>
      <c r="B12" t="s">
        <v>45</v>
      </c>
      <c r="I12">
        <v>12</v>
      </c>
      <c r="J12" t="s">
        <v>66</v>
      </c>
      <c r="S12" t="s">
        <v>170</v>
      </c>
    </row>
    <row r="13" spans="1:19" x14ac:dyDescent="0.3">
      <c r="A13">
        <v>12</v>
      </c>
      <c r="B13" t="s">
        <v>47</v>
      </c>
      <c r="I13">
        <v>12</v>
      </c>
      <c r="J13" t="s">
        <v>67</v>
      </c>
      <c r="S13" t="s">
        <v>158</v>
      </c>
    </row>
    <row r="14" spans="1:19" x14ac:dyDescent="0.3">
      <c r="A14">
        <v>12</v>
      </c>
      <c r="B14" t="s">
        <v>27</v>
      </c>
      <c r="I14">
        <v>12</v>
      </c>
      <c r="J14" t="s">
        <v>19</v>
      </c>
      <c r="S14" t="s">
        <v>190</v>
      </c>
    </row>
    <row r="15" spans="1:19" x14ac:dyDescent="0.3">
      <c r="A15">
        <v>12</v>
      </c>
      <c r="B15" t="s">
        <v>68</v>
      </c>
      <c r="I15">
        <v>12</v>
      </c>
      <c r="J15" t="s">
        <v>69</v>
      </c>
      <c r="S15" t="s">
        <v>155</v>
      </c>
    </row>
    <row r="16" spans="1:19" x14ac:dyDescent="0.3">
      <c r="A16">
        <v>12</v>
      </c>
      <c r="B16" t="s">
        <v>14</v>
      </c>
      <c r="S16" t="s">
        <v>191</v>
      </c>
    </row>
    <row r="17" spans="1:19" x14ac:dyDescent="0.3">
      <c r="A17">
        <v>12</v>
      </c>
      <c r="B17" t="s">
        <v>13</v>
      </c>
      <c r="I17">
        <v>12</v>
      </c>
      <c r="J17" t="s">
        <v>70</v>
      </c>
      <c r="S17" t="s">
        <v>192</v>
      </c>
    </row>
    <row r="18" spans="1:19" x14ac:dyDescent="0.3">
      <c r="A18">
        <v>12</v>
      </c>
      <c r="B18" t="s">
        <v>46</v>
      </c>
      <c r="I18">
        <v>11</v>
      </c>
      <c r="J18" t="s">
        <v>29</v>
      </c>
      <c r="S18" t="s">
        <v>193</v>
      </c>
    </row>
    <row r="19" spans="1:19" x14ac:dyDescent="0.3">
      <c r="A19">
        <v>12</v>
      </c>
      <c r="B19" t="s">
        <v>17</v>
      </c>
      <c r="I19">
        <v>11</v>
      </c>
      <c r="J19" t="s">
        <v>34</v>
      </c>
      <c r="S19" t="s">
        <v>194</v>
      </c>
    </row>
    <row r="20" spans="1:19" x14ac:dyDescent="0.3">
      <c r="A20">
        <v>12</v>
      </c>
      <c r="B20" t="s">
        <v>43</v>
      </c>
      <c r="S20" t="s">
        <v>195</v>
      </c>
    </row>
    <row r="21" spans="1:19" x14ac:dyDescent="0.3">
      <c r="A21">
        <v>12</v>
      </c>
      <c r="B21" t="s">
        <v>50</v>
      </c>
    </row>
    <row r="22" spans="1:19" x14ac:dyDescent="0.3">
      <c r="A22">
        <v>12</v>
      </c>
      <c r="B22" t="s">
        <v>53</v>
      </c>
    </row>
    <row r="23" spans="1:19" x14ac:dyDescent="0.3">
      <c r="A23">
        <v>12</v>
      </c>
      <c r="B23" t="s">
        <v>48</v>
      </c>
    </row>
    <row r="24" spans="1:19" x14ac:dyDescent="0.3">
      <c r="A24">
        <v>12</v>
      </c>
      <c r="B24" t="s">
        <v>36</v>
      </c>
    </row>
    <row r="25" spans="1:19" x14ac:dyDescent="0.3">
      <c r="A25">
        <v>12</v>
      </c>
      <c r="B25" t="s">
        <v>32</v>
      </c>
    </row>
    <row r="26" spans="1:19" x14ac:dyDescent="0.3">
      <c r="A26">
        <v>12</v>
      </c>
      <c r="B26" t="s">
        <v>28</v>
      </c>
    </row>
    <row r="27" spans="1:19" x14ac:dyDescent="0.3">
      <c r="A27">
        <v>12</v>
      </c>
      <c r="B27" t="s">
        <v>51</v>
      </c>
    </row>
    <row r="28" spans="1:19" x14ac:dyDescent="0.3">
      <c r="A28">
        <v>12</v>
      </c>
      <c r="B28" t="s">
        <v>16</v>
      </c>
    </row>
    <row r="29" spans="1:19" x14ac:dyDescent="0.3">
      <c r="A29">
        <v>12</v>
      </c>
      <c r="B29" t="s">
        <v>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I50"/>
  <sheetViews>
    <sheetView tabSelected="1" workbookViewId="0">
      <selection activeCell="D22" sqref="D22"/>
    </sheetView>
  </sheetViews>
  <sheetFormatPr defaultColWidth="9.109375" defaultRowHeight="14.4" x14ac:dyDescent="0.3"/>
  <cols>
    <col min="1" max="1" width="16.44140625" style="79" customWidth="1"/>
    <col min="2" max="2" width="11.5546875" style="83" customWidth="1"/>
    <col min="3" max="3" width="15.109375" style="84" customWidth="1"/>
    <col min="4" max="4" width="13.44140625" style="83" customWidth="1"/>
    <col min="5" max="5" width="13.33203125" style="68" customWidth="1"/>
    <col min="6" max="6" width="11.5546875" style="84" customWidth="1"/>
    <col min="7" max="7" width="11.5546875" style="83" customWidth="1"/>
    <col min="8" max="8" width="11.5546875" style="84" customWidth="1"/>
    <col min="9" max="9" width="11.5546875" style="83" customWidth="1"/>
    <col min="10" max="10" width="12.5546875" style="84" customWidth="1"/>
    <col min="11" max="11" width="12.5546875" style="83" customWidth="1"/>
    <col min="12" max="12" width="12.5546875" style="84" customWidth="1"/>
    <col min="13" max="13" width="12.5546875" style="83" customWidth="1"/>
    <col min="14" max="14" width="12.5546875" style="84" customWidth="1"/>
    <col min="15" max="15" width="12.5546875" style="83" customWidth="1"/>
    <col min="16" max="16" width="12.5546875" style="84" customWidth="1"/>
    <col min="17" max="17" width="12.5546875" style="83" customWidth="1"/>
    <col min="18" max="18" width="12.5546875" style="84" customWidth="1"/>
    <col min="19" max="19" width="12.5546875" style="83" customWidth="1"/>
    <col min="20" max="20" width="12.5546875" style="84" customWidth="1"/>
    <col min="21" max="21" width="12.5546875" style="83" customWidth="1"/>
    <col min="22" max="22" width="12.5546875" style="84" customWidth="1"/>
    <col min="23" max="87" width="12.5546875" style="68" customWidth="1"/>
    <col min="88" max="88" width="9.109375" style="68" customWidth="1"/>
    <col min="89" max="16384" width="9.109375" style="68"/>
  </cols>
  <sheetData>
    <row r="1" spans="1:87" x14ac:dyDescent="0.3">
      <c r="A1" s="78" t="s">
        <v>71</v>
      </c>
      <c r="B1" s="80" t="s">
        <v>72</v>
      </c>
      <c r="C1" s="81" t="s">
        <v>73</v>
      </c>
      <c r="D1" s="80" t="s">
        <v>74</v>
      </c>
      <c r="E1" s="82" t="s">
        <v>75</v>
      </c>
      <c r="F1" s="81" t="s">
        <v>76</v>
      </c>
      <c r="G1" s="80" t="s">
        <v>77</v>
      </c>
      <c r="H1" s="81" t="s">
        <v>78</v>
      </c>
      <c r="I1" s="80" t="s">
        <v>79</v>
      </c>
      <c r="J1" s="81" t="s">
        <v>80</v>
      </c>
      <c r="K1" s="80" t="s">
        <v>81</v>
      </c>
      <c r="L1" s="81" t="s">
        <v>82</v>
      </c>
      <c r="M1" s="80" t="s">
        <v>196</v>
      </c>
      <c r="N1" s="81" t="s">
        <v>197</v>
      </c>
      <c r="O1" s="80" t="s">
        <v>198</v>
      </c>
      <c r="P1" s="81" t="s">
        <v>199</v>
      </c>
      <c r="Q1" s="80" t="s">
        <v>83</v>
      </c>
      <c r="R1" s="81" t="s">
        <v>84</v>
      </c>
      <c r="S1" s="80" t="s">
        <v>85</v>
      </c>
      <c r="T1" s="81" t="s">
        <v>86</v>
      </c>
      <c r="U1" s="80" t="s">
        <v>87</v>
      </c>
      <c r="V1" s="81" t="s">
        <v>88</v>
      </c>
      <c r="W1" s="68" t="s">
        <v>89</v>
      </c>
      <c r="X1" s="68" t="s">
        <v>90</v>
      </c>
      <c r="Y1" s="68" t="s">
        <v>91</v>
      </c>
      <c r="Z1" s="68" t="s">
        <v>92</v>
      </c>
      <c r="AA1" s="68" t="s">
        <v>93</v>
      </c>
      <c r="AB1" s="68" t="s">
        <v>94</v>
      </c>
      <c r="AC1" s="68" t="s">
        <v>95</v>
      </c>
      <c r="AD1" s="68" t="s">
        <v>96</v>
      </c>
      <c r="AE1" s="68" t="s">
        <v>97</v>
      </c>
      <c r="AF1" s="68" t="s">
        <v>98</v>
      </c>
      <c r="AG1" s="68" t="s">
        <v>99</v>
      </c>
      <c r="AH1" s="68" t="s">
        <v>100</v>
      </c>
      <c r="AI1" s="68" t="s">
        <v>101</v>
      </c>
      <c r="AJ1" s="68" t="s">
        <v>102</v>
      </c>
      <c r="AK1" s="68" t="s">
        <v>103</v>
      </c>
      <c r="AL1" s="68" t="s">
        <v>104</v>
      </c>
      <c r="AM1" s="68" t="s">
        <v>105</v>
      </c>
      <c r="AN1" s="68" t="s">
        <v>106</v>
      </c>
      <c r="AO1" s="68" t="s">
        <v>107</v>
      </c>
      <c r="AP1" s="68" t="s">
        <v>108</v>
      </c>
      <c r="AQ1" s="68" t="s">
        <v>109</v>
      </c>
      <c r="AR1" s="68" t="s">
        <v>110</v>
      </c>
      <c r="AS1" s="68" t="s">
        <v>111</v>
      </c>
      <c r="AT1" s="68" t="s">
        <v>112</v>
      </c>
      <c r="AU1" s="68" t="s">
        <v>113</v>
      </c>
      <c r="AV1" s="68" t="s">
        <v>114</v>
      </c>
      <c r="AW1" s="68" t="s">
        <v>115</v>
      </c>
      <c r="AX1" s="68" t="s">
        <v>116</v>
      </c>
      <c r="AY1" s="68" t="s">
        <v>117</v>
      </c>
      <c r="AZ1" s="68" t="s">
        <v>118</v>
      </c>
      <c r="BA1" s="68" t="s">
        <v>119</v>
      </c>
      <c r="BB1" s="68" t="s">
        <v>120</v>
      </c>
      <c r="BC1" s="68" t="s">
        <v>121</v>
      </c>
      <c r="BD1" s="68" t="s">
        <v>122</v>
      </c>
      <c r="BE1" s="68" t="s">
        <v>123</v>
      </c>
      <c r="BF1" s="68" t="s">
        <v>124</v>
      </c>
      <c r="BG1" s="68" t="s">
        <v>125</v>
      </c>
      <c r="BH1" s="68" t="s">
        <v>126</v>
      </c>
      <c r="BI1" s="68" t="s">
        <v>127</v>
      </c>
      <c r="BJ1" s="68" t="s">
        <v>128</v>
      </c>
      <c r="BK1" s="68" t="s">
        <v>129</v>
      </c>
      <c r="BL1" s="68" t="s">
        <v>130</v>
      </c>
      <c r="BM1" s="68" t="s">
        <v>131</v>
      </c>
      <c r="BN1" s="68" t="s">
        <v>132</v>
      </c>
      <c r="BO1" s="68" t="s">
        <v>133</v>
      </c>
      <c r="BP1" s="68" t="s">
        <v>134</v>
      </c>
      <c r="BQ1" s="68" t="s">
        <v>135</v>
      </c>
      <c r="BR1" s="68" t="s">
        <v>136</v>
      </c>
      <c r="BS1" s="68" t="s">
        <v>137</v>
      </c>
      <c r="BT1" s="68" t="s">
        <v>138</v>
      </c>
      <c r="BU1" s="68" t="s">
        <v>139</v>
      </c>
      <c r="BV1" s="68" t="s">
        <v>140</v>
      </c>
      <c r="BW1" s="68" t="s">
        <v>141</v>
      </c>
      <c r="BX1" s="68" t="s">
        <v>142</v>
      </c>
      <c r="BY1" s="68" t="s">
        <v>143</v>
      </c>
      <c r="BZ1" s="68" t="s">
        <v>144</v>
      </c>
      <c r="CA1" s="68" t="s">
        <v>145</v>
      </c>
      <c r="CB1" s="68" t="s">
        <v>146</v>
      </c>
      <c r="CC1" s="68" t="s">
        <v>147</v>
      </c>
      <c r="CD1" s="68" t="s">
        <v>148</v>
      </c>
      <c r="CE1" s="68" t="s">
        <v>149</v>
      </c>
      <c r="CF1" s="68" t="s">
        <v>150</v>
      </c>
      <c r="CG1" s="68" t="s">
        <v>151</v>
      </c>
      <c r="CH1" s="68" t="s">
        <v>152</v>
      </c>
      <c r="CI1" s="68" t="s">
        <v>153</v>
      </c>
    </row>
    <row r="2" spans="1:87" x14ac:dyDescent="0.3">
      <c r="A2" s="79" t="s">
        <v>166</v>
      </c>
      <c r="B2" s="83">
        <v>0</v>
      </c>
      <c r="C2" s="84">
        <v>0</v>
      </c>
      <c r="D2" s="83">
        <v>2</v>
      </c>
      <c r="E2" s="68">
        <f>SUM(G2:Z2)</f>
        <v>4</v>
      </c>
      <c r="F2" s="84">
        <f>ROUND(AVERAGE(G2:Z2),1)</f>
        <v>2</v>
      </c>
      <c r="I2" s="83">
        <v>3</v>
      </c>
      <c r="J2" s="84">
        <v>1</v>
      </c>
      <c r="O2" s="83" t="s">
        <v>154</v>
      </c>
      <c r="P2" s="84" t="s">
        <v>154</v>
      </c>
    </row>
    <row r="3" spans="1:87" x14ac:dyDescent="0.3">
      <c r="A3" s="79" t="s">
        <v>157</v>
      </c>
      <c r="B3" s="83">
        <v>1</v>
      </c>
      <c r="C3" s="84">
        <v>0</v>
      </c>
      <c r="D3" s="83">
        <v>2</v>
      </c>
      <c r="E3" s="68">
        <f>SUM(G3:Z3)</f>
        <v>2</v>
      </c>
      <c r="F3" s="84">
        <f>ROUND(AVERAGE(G3:Z3),1)</f>
        <v>2</v>
      </c>
      <c r="I3" s="83">
        <v>2</v>
      </c>
      <c r="J3" s="84" t="s">
        <v>154</v>
      </c>
      <c r="K3" s="94"/>
      <c r="L3" s="94"/>
      <c r="O3" s="83" t="s">
        <v>154</v>
      </c>
      <c r="P3" s="84" t="s">
        <v>154</v>
      </c>
    </row>
    <row r="4" spans="1:87" x14ac:dyDescent="0.3">
      <c r="A4" s="79" t="s">
        <v>6</v>
      </c>
      <c r="B4" s="83">
        <v>0</v>
      </c>
      <c r="C4" s="84">
        <v>0</v>
      </c>
      <c r="D4" s="83">
        <v>4</v>
      </c>
      <c r="E4" s="68">
        <f>SUM(G4:Z4)</f>
        <v>21</v>
      </c>
      <c r="F4" s="84">
        <f>ROUND(AVERAGE(G4:Z4),1)</f>
        <v>2.6</v>
      </c>
      <c r="G4" s="83">
        <v>3</v>
      </c>
      <c r="H4" s="84">
        <v>3</v>
      </c>
      <c r="I4" s="83">
        <v>3</v>
      </c>
      <c r="J4" s="84">
        <v>2</v>
      </c>
      <c r="K4" s="83">
        <v>2</v>
      </c>
      <c r="L4" s="84">
        <v>3</v>
      </c>
      <c r="O4" s="83">
        <v>3</v>
      </c>
      <c r="P4" s="84">
        <v>2</v>
      </c>
    </row>
    <row r="5" spans="1:87" x14ac:dyDescent="0.3">
      <c r="A5" s="79" t="s">
        <v>59</v>
      </c>
      <c r="B5" s="83">
        <v>0</v>
      </c>
      <c r="C5" s="84">
        <v>0</v>
      </c>
      <c r="D5" s="83">
        <v>4</v>
      </c>
      <c r="E5" s="68">
        <f>SUM(G5:Z5)</f>
        <v>16</v>
      </c>
      <c r="F5" s="84">
        <f>ROUND(AVERAGE(G5:Z5),1)</f>
        <v>2</v>
      </c>
      <c r="G5" s="83">
        <v>1</v>
      </c>
      <c r="H5" s="84">
        <v>2</v>
      </c>
      <c r="I5" s="83">
        <v>1</v>
      </c>
      <c r="J5" s="84">
        <v>3</v>
      </c>
      <c r="K5" s="94"/>
      <c r="L5" s="94"/>
      <c r="M5" s="83">
        <v>0</v>
      </c>
      <c r="N5" s="84">
        <v>3</v>
      </c>
      <c r="O5" s="83">
        <v>3</v>
      </c>
      <c r="P5" s="84">
        <v>3</v>
      </c>
    </row>
    <row r="6" spans="1:87" x14ac:dyDescent="0.3">
      <c r="A6" s="79" t="s">
        <v>170</v>
      </c>
      <c r="B6" s="83">
        <v>0</v>
      </c>
      <c r="C6" s="84">
        <v>0</v>
      </c>
      <c r="D6" s="83">
        <v>3</v>
      </c>
      <c r="E6" s="68">
        <f>SUM(G6:Z6)</f>
        <v>14</v>
      </c>
      <c r="F6" s="84">
        <f>ROUND(AVERAGE(G6:Z6),1)</f>
        <v>2.2999999999999998</v>
      </c>
      <c r="I6" s="83">
        <v>3</v>
      </c>
      <c r="J6" s="84">
        <v>1</v>
      </c>
      <c r="K6" s="83">
        <v>3</v>
      </c>
      <c r="L6" s="84">
        <v>3</v>
      </c>
      <c r="O6" s="83">
        <v>3</v>
      </c>
      <c r="P6" s="84">
        <v>1</v>
      </c>
    </row>
    <row r="7" spans="1:87" x14ac:dyDescent="0.3">
      <c r="A7" s="79" t="s">
        <v>158</v>
      </c>
      <c r="B7" s="83">
        <v>1</v>
      </c>
      <c r="C7" s="84">
        <v>0</v>
      </c>
      <c r="D7" s="83">
        <v>3</v>
      </c>
      <c r="E7" s="68">
        <f>SUM(G7:Z7)</f>
        <v>12</v>
      </c>
      <c r="F7" s="84">
        <f>ROUND(AVERAGE(G7:Z7),1)</f>
        <v>2.4</v>
      </c>
      <c r="I7" s="83">
        <v>2</v>
      </c>
      <c r="J7" s="84" t="s">
        <v>154</v>
      </c>
      <c r="M7" s="83">
        <v>3</v>
      </c>
      <c r="N7" s="84">
        <v>1</v>
      </c>
      <c r="O7" s="83">
        <v>3</v>
      </c>
      <c r="P7" s="84">
        <v>3</v>
      </c>
    </row>
    <row r="8" spans="1:87" x14ac:dyDescent="0.3">
      <c r="A8" s="79" t="s">
        <v>58</v>
      </c>
      <c r="B8" s="83">
        <v>0</v>
      </c>
      <c r="C8" s="84">
        <v>0</v>
      </c>
      <c r="D8" s="83">
        <v>3</v>
      </c>
      <c r="E8" s="68">
        <f>SUM(G8:Z8)</f>
        <v>13</v>
      </c>
      <c r="F8" s="84">
        <f>ROUND(AVERAGE(G8:Z8),1)</f>
        <v>2.6</v>
      </c>
      <c r="G8" s="83">
        <v>3</v>
      </c>
      <c r="H8" s="84">
        <v>1</v>
      </c>
      <c r="I8" s="83">
        <v>3</v>
      </c>
      <c r="J8" s="84">
        <v>3</v>
      </c>
      <c r="K8" s="94"/>
      <c r="L8" s="94"/>
      <c r="O8" s="83">
        <v>3</v>
      </c>
      <c r="P8" s="84" t="s">
        <v>154</v>
      </c>
    </row>
    <row r="9" spans="1:87" x14ac:dyDescent="0.3">
      <c r="A9" s="79" t="s">
        <v>10</v>
      </c>
      <c r="B9" s="83">
        <v>0</v>
      </c>
      <c r="C9" s="84">
        <v>0</v>
      </c>
      <c r="D9" s="83">
        <v>5</v>
      </c>
      <c r="E9" s="68">
        <f>SUM(G9:Z9)</f>
        <v>27</v>
      </c>
      <c r="F9" s="84">
        <f>ROUND(AVERAGE(G9:Z9),1)</f>
        <v>2.7</v>
      </c>
      <c r="G9" s="83">
        <v>3</v>
      </c>
      <c r="H9" s="84">
        <v>3</v>
      </c>
      <c r="I9" s="83">
        <v>2</v>
      </c>
      <c r="J9" s="84">
        <v>3</v>
      </c>
      <c r="K9" s="83">
        <v>3</v>
      </c>
      <c r="L9" s="84">
        <v>3</v>
      </c>
      <c r="M9" s="83">
        <v>2</v>
      </c>
      <c r="N9" s="84">
        <v>2</v>
      </c>
      <c r="O9" s="83">
        <v>3</v>
      </c>
      <c r="P9" s="84">
        <v>3</v>
      </c>
    </row>
    <row r="10" spans="1:87" x14ac:dyDescent="0.3">
      <c r="A10" s="79" t="s">
        <v>45</v>
      </c>
      <c r="B10" s="83">
        <v>0</v>
      </c>
      <c r="C10" s="84">
        <v>0</v>
      </c>
      <c r="D10" s="83">
        <v>3</v>
      </c>
      <c r="E10" s="68">
        <f>SUM(G10:Z10)</f>
        <v>18</v>
      </c>
      <c r="F10" s="84">
        <f>ROUND(AVERAGE(G10:Z10),1)</f>
        <v>3</v>
      </c>
      <c r="I10" s="83">
        <v>3</v>
      </c>
      <c r="J10" s="84">
        <v>3</v>
      </c>
      <c r="M10" s="83">
        <v>3</v>
      </c>
      <c r="N10" s="84">
        <v>3</v>
      </c>
      <c r="O10" s="83">
        <v>3</v>
      </c>
      <c r="P10" s="84">
        <v>3</v>
      </c>
    </row>
    <row r="11" spans="1:87" x14ac:dyDescent="0.3">
      <c r="A11" s="79" t="s">
        <v>175</v>
      </c>
      <c r="B11" s="83">
        <v>2</v>
      </c>
      <c r="C11" s="84">
        <v>1</v>
      </c>
      <c r="D11" s="83">
        <v>2</v>
      </c>
      <c r="E11" s="68">
        <f>SUM(G11:Z11)</f>
        <v>6</v>
      </c>
      <c r="F11" s="84">
        <f>ROUND(AVERAGE(G11:Z11),1)</f>
        <v>3</v>
      </c>
      <c r="K11" s="94" t="s">
        <v>154</v>
      </c>
      <c r="L11" s="94" t="s">
        <v>154</v>
      </c>
      <c r="O11" s="83">
        <v>3</v>
      </c>
      <c r="P11" s="84">
        <v>3</v>
      </c>
    </row>
    <row r="12" spans="1:87" x14ac:dyDescent="0.3">
      <c r="A12" s="79" t="s">
        <v>156</v>
      </c>
      <c r="B12" s="83">
        <v>4</v>
      </c>
      <c r="C12" s="84">
        <v>1</v>
      </c>
      <c r="D12" s="83">
        <v>4</v>
      </c>
      <c r="E12" s="68">
        <f>SUM(G12:Z12)</f>
        <v>8</v>
      </c>
      <c r="F12" s="84">
        <f>ROUND(AVERAGE(G12:Z12),1)</f>
        <v>2</v>
      </c>
      <c r="G12" s="83">
        <v>1</v>
      </c>
      <c r="H12" s="84" t="s">
        <v>154</v>
      </c>
      <c r="I12" s="83">
        <v>1</v>
      </c>
      <c r="J12" s="84" t="s">
        <v>154</v>
      </c>
      <c r="K12" s="83" t="s">
        <v>154</v>
      </c>
      <c r="L12" s="84" t="s">
        <v>154</v>
      </c>
      <c r="O12" s="83">
        <v>3</v>
      </c>
      <c r="P12" s="84">
        <v>3</v>
      </c>
    </row>
    <row r="13" spans="1:87" x14ac:dyDescent="0.3">
      <c r="A13" s="79" t="s">
        <v>184</v>
      </c>
      <c r="B13" s="83">
        <v>0</v>
      </c>
      <c r="C13" s="84">
        <v>0</v>
      </c>
      <c r="D13" s="83">
        <v>3</v>
      </c>
      <c r="E13" s="68">
        <f>SUM(G13:Z13)</f>
        <v>17</v>
      </c>
      <c r="F13" s="84">
        <f>ROUND(AVERAGE(G13:Z13),1)</f>
        <v>2.8</v>
      </c>
      <c r="G13" s="83">
        <v>3</v>
      </c>
      <c r="H13" s="84">
        <v>3</v>
      </c>
      <c r="I13" s="83">
        <v>2</v>
      </c>
      <c r="J13" s="84">
        <v>3</v>
      </c>
      <c r="O13" s="83">
        <v>3</v>
      </c>
      <c r="P13" s="84">
        <v>3</v>
      </c>
    </row>
    <row r="14" spans="1:87" x14ac:dyDescent="0.3">
      <c r="A14" s="79" t="s">
        <v>181</v>
      </c>
      <c r="B14" s="83">
        <v>0</v>
      </c>
      <c r="C14" s="84">
        <v>0</v>
      </c>
      <c r="D14" s="83">
        <v>1</v>
      </c>
      <c r="E14" s="68">
        <f>SUM(G14:Z14)</f>
        <v>5</v>
      </c>
      <c r="F14" s="84">
        <f>ROUND(AVERAGE(G14:Z14),1)</f>
        <v>2.5</v>
      </c>
      <c r="O14" s="83">
        <v>3</v>
      </c>
      <c r="P14" s="84">
        <v>2</v>
      </c>
    </row>
    <row r="15" spans="1:87" x14ac:dyDescent="0.3">
      <c r="A15" s="79" t="s">
        <v>186</v>
      </c>
      <c r="B15" s="83">
        <v>2</v>
      </c>
      <c r="C15" s="84">
        <v>1</v>
      </c>
      <c r="D15" s="83">
        <v>4</v>
      </c>
      <c r="E15" s="68">
        <f>SUM(G15:Z15)</f>
        <v>15</v>
      </c>
      <c r="F15" s="84">
        <f>ROUND(AVERAGE(G15:Z15),1)</f>
        <v>2.5</v>
      </c>
      <c r="G15" s="83">
        <v>2</v>
      </c>
      <c r="H15" s="84">
        <v>3</v>
      </c>
      <c r="I15" s="83">
        <v>2</v>
      </c>
      <c r="J15" s="84">
        <v>3</v>
      </c>
      <c r="K15" s="83" t="s">
        <v>154</v>
      </c>
      <c r="L15" s="84" t="s">
        <v>154</v>
      </c>
      <c r="O15" s="83">
        <v>3</v>
      </c>
      <c r="P15" s="84">
        <v>2</v>
      </c>
    </row>
    <row r="16" spans="1:87" x14ac:dyDescent="0.3">
      <c r="A16" s="79" t="s">
        <v>43</v>
      </c>
      <c r="B16" s="83">
        <v>2</v>
      </c>
      <c r="C16" s="84">
        <v>1</v>
      </c>
      <c r="D16" s="83">
        <v>2</v>
      </c>
      <c r="E16" s="68">
        <f>SUM(G16:Z16)</f>
        <v>3</v>
      </c>
      <c r="F16" s="84">
        <f>ROUND(AVERAGE(G16:Z16),1)</f>
        <v>3</v>
      </c>
      <c r="G16" s="83" t="s">
        <v>154</v>
      </c>
      <c r="H16" s="84" t="s">
        <v>154</v>
      </c>
      <c r="O16" s="83">
        <v>3</v>
      </c>
      <c r="P16" s="84" t="s">
        <v>154</v>
      </c>
    </row>
    <row r="17" spans="1:16" x14ac:dyDescent="0.3">
      <c r="A17" s="79" t="s">
        <v>187</v>
      </c>
      <c r="B17" s="83">
        <v>0</v>
      </c>
      <c r="C17" s="84">
        <v>0</v>
      </c>
      <c r="D17" s="83">
        <v>5</v>
      </c>
      <c r="E17" s="68">
        <f>SUM(G17:Z17)</f>
        <v>8</v>
      </c>
      <c r="F17" s="84">
        <f>ROUND(AVERAGE(G17:Z17),1)</f>
        <v>0.8</v>
      </c>
      <c r="G17" s="83">
        <v>2</v>
      </c>
      <c r="H17" s="84">
        <v>1</v>
      </c>
      <c r="I17" s="83">
        <v>0</v>
      </c>
      <c r="J17" s="84">
        <v>0</v>
      </c>
      <c r="K17" s="83">
        <v>2</v>
      </c>
      <c r="L17" s="84">
        <v>1</v>
      </c>
      <c r="M17" s="83">
        <v>1</v>
      </c>
      <c r="N17" s="84">
        <v>0</v>
      </c>
      <c r="O17" s="83">
        <v>1</v>
      </c>
      <c r="P17" s="84">
        <v>0</v>
      </c>
    </row>
    <row r="18" spans="1:16" x14ac:dyDescent="0.3">
      <c r="A18" s="79" t="s">
        <v>20</v>
      </c>
      <c r="B18" s="83">
        <v>0</v>
      </c>
      <c r="C18" s="84">
        <v>0</v>
      </c>
      <c r="D18" s="83">
        <v>3</v>
      </c>
      <c r="E18" s="68">
        <f>SUM(G18:Z18)</f>
        <v>14</v>
      </c>
      <c r="F18" s="84">
        <f>ROUND(AVERAGE(G18:Z18),1)</f>
        <v>2.2999999999999998</v>
      </c>
      <c r="G18" s="83">
        <v>3</v>
      </c>
      <c r="H18" s="84">
        <v>3</v>
      </c>
      <c r="K18" s="83">
        <v>2</v>
      </c>
      <c r="L18" s="84">
        <v>2</v>
      </c>
      <c r="O18" s="83">
        <v>1</v>
      </c>
      <c r="P18" s="84">
        <v>3</v>
      </c>
    </row>
    <row r="19" spans="1:16" x14ac:dyDescent="0.3">
      <c r="A19" s="79" t="s">
        <v>22</v>
      </c>
      <c r="B19" s="83">
        <v>0</v>
      </c>
      <c r="C19" s="84">
        <v>0</v>
      </c>
      <c r="D19" s="83">
        <v>5</v>
      </c>
      <c r="E19" s="68">
        <f>SUM(G19:Z19)</f>
        <v>23</v>
      </c>
      <c r="F19" s="84">
        <f>ROUND(AVERAGE(G19:Z19),1)</f>
        <v>2.2999999999999998</v>
      </c>
      <c r="G19" s="83">
        <v>1</v>
      </c>
      <c r="H19" s="84">
        <v>3</v>
      </c>
      <c r="I19" s="83">
        <v>3</v>
      </c>
      <c r="J19" s="84">
        <v>3</v>
      </c>
      <c r="K19" s="83">
        <v>1</v>
      </c>
      <c r="L19" s="84">
        <v>3</v>
      </c>
      <c r="M19" s="83">
        <v>2</v>
      </c>
      <c r="N19" s="84">
        <v>3</v>
      </c>
      <c r="O19" s="83">
        <v>1</v>
      </c>
      <c r="P19" s="84">
        <v>3</v>
      </c>
    </row>
    <row r="20" spans="1:16" x14ac:dyDescent="0.3">
      <c r="A20" s="79" t="s">
        <v>185</v>
      </c>
      <c r="B20" s="83">
        <v>0</v>
      </c>
      <c r="C20" s="84">
        <v>0</v>
      </c>
      <c r="D20" s="83">
        <v>5</v>
      </c>
      <c r="E20" s="68">
        <f>SUM(G20:Z20)</f>
        <v>17</v>
      </c>
      <c r="F20" s="84">
        <f>ROUND(AVERAGE(G20:Z20),1)</f>
        <v>1.7</v>
      </c>
      <c r="G20" s="83">
        <v>2</v>
      </c>
      <c r="H20" s="84">
        <v>3</v>
      </c>
      <c r="I20" s="83">
        <v>1</v>
      </c>
      <c r="J20" s="84">
        <v>1</v>
      </c>
      <c r="K20" s="94">
        <v>3</v>
      </c>
      <c r="L20" s="94">
        <v>2</v>
      </c>
      <c r="M20" s="83">
        <v>1</v>
      </c>
      <c r="N20" s="84">
        <v>2</v>
      </c>
      <c r="O20" s="83">
        <v>1</v>
      </c>
      <c r="P20" s="84">
        <v>1</v>
      </c>
    </row>
    <row r="21" spans="1:16" x14ac:dyDescent="0.3">
      <c r="A21" s="79" t="s">
        <v>159</v>
      </c>
      <c r="B21" s="83">
        <v>1</v>
      </c>
      <c r="C21" s="84">
        <v>1</v>
      </c>
      <c r="D21" s="83">
        <v>4</v>
      </c>
      <c r="E21" s="68">
        <f>SUM(G21:Z21)</f>
        <v>8</v>
      </c>
      <c r="F21" s="84">
        <f>ROUND(AVERAGE(G21:Z21),1)</f>
        <v>1.6</v>
      </c>
      <c r="I21" s="83" t="s">
        <v>154</v>
      </c>
      <c r="J21" s="84" t="s">
        <v>154</v>
      </c>
      <c r="K21" s="83">
        <v>3</v>
      </c>
      <c r="L21" s="84">
        <v>3</v>
      </c>
      <c r="M21" s="83">
        <v>1</v>
      </c>
      <c r="N21" s="84">
        <v>1</v>
      </c>
      <c r="O21" s="83">
        <v>0</v>
      </c>
      <c r="P21" s="84" t="s">
        <v>154</v>
      </c>
    </row>
    <row r="22" spans="1:16" x14ac:dyDescent="0.3">
      <c r="A22" s="79" t="s">
        <v>60</v>
      </c>
      <c r="B22" s="83">
        <v>0</v>
      </c>
      <c r="C22" s="84">
        <v>0</v>
      </c>
      <c r="D22" s="83">
        <v>1</v>
      </c>
      <c r="E22" s="68">
        <f>SUM(G22:Z22)</f>
        <v>3</v>
      </c>
      <c r="F22" s="84">
        <f>ROUND(AVERAGE(G22:Z22),1)</f>
        <v>1.5</v>
      </c>
      <c r="I22" s="83">
        <v>2</v>
      </c>
      <c r="J22" s="84">
        <v>1</v>
      </c>
    </row>
    <row r="23" spans="1:16" x14ac:dyDescent="0.3">
      <c r="A23" s="79" t="s">
        <v>160</v>
      </c>
      <c r="B23" s="83">
        <v>0</v>
      </c>
      <c r="C23" s="84">
        <v>0</v>
      </c>
      <c r="D23" s="83">
        <v>0</v>
      </c>
      <c r="E23" s="68">
        <f>SUM(G23:Z23)</f>
        <v>0</v>
      </c>
      <c r="F23" s="84" t="e">
        <f>ROUND(AVERAGE(G23:Z23),1)</f>
        <v>#DIV/0!</v>
      </c>
    </row>
    <row r="24" spans="1:16" x14ac:dyDescent="0.3">
      <c r="A24" s="79" t="s">
        <v>183</v>
      </c>
      <c r="B24" s="83">
        <v>0</v>
      </c>
      <c r="C24" s="84">
        <v>0</v>
      </c>
      <c r="D24" s="83">
        <v>1</v>
      </c>
      <c r="E24" s="68">
        <f>SUM(G24:Z24)</f>
        <v>6</v>
      </c>
      <c r="F24" s="84">
        <f>ROUND(AVERAGE(G24:Z24),1)</f>
        <v>3</v>
      </c>
      <c r="G24" s="83">
        <v>3</v>
      </c>
      <c r="H24" s="84">
        <v>3</v>
      </c>
    </row>
    <row r="25" spans="1:16" x14ac:dyDescent="0.3">
      <c r="A25" s="79" t="s">
        <v>161</v>
      </c>
      <c r="B25" s="83">
        <v>0</v>
      </c>
      <c r="C25" s="84">
        <v>0</v>
      </c>
      <c r="D25" s="83">
        <v>2</v>
      </c>
      <c r="E25" s="68">
        <f>SUM(G25:Z25)</f>
        <v>12</v>
      </c>
      <c r="F25" s="84">
        <f>ROUND(AVERAGE(G25:Z25),1)</f>
        <v>3</v>
      </c>
      <c r="K25" s="83">
        <v>3</v>
      </c>
      <c r="L25" s="84">
        <v>3</v>
      </c>
      <c r="M25" s="83">
        <v>3</v>
      </c>
      <c r="N25" s="84">
        <v>3</v>
      </c>
    </row>
    <row r="26" spans="1:16" x14ac:dyDescent="0.3">
      <c r="A26" s="79" t="s">
        <v>162</v>
      </c>
      <c r="B26" s="83">
        <v>0</v>
      </c>
      <c r="C26" s="84">
        <v>0</v>
      </c>
      <c r="D26" s="83">
        <v>0</v>
      </c>
      <c r="E26" s="68">
        <f>SUM(G26:Z26)</f>
        <v>0</v>
      </c>
      <c r="F26" s="84" t="e">
        <f>ROUND(AVERAGE(G26:Z26),1)</f>
        <v>#DIV/0!</v>
      </c>
    </row>
    <row r="27" spans="1:16" x14ac:dyDescent="0.3">
      <c r="A27" s="79" t="s">
        <v>163</v>
      </c>
      <c r="B27" s="83">
        <v>0</v>
      </c>
      <c r="C27" s="84">
        <v>0</v>
      </c>
      <c r="D27" s="83">
        <v>0</v>
      </c>
      <c r="E27" s="68">
        <f>SUM(G27:Z27)</f>
        <v>0</v>
      </c>
      <c r="F27" s="84" t="e">
        <f>ROUND(AVERAGE(G27:Z27),1)</f>
        <v>#DIV/0!</v>
      </c>
    </row>
    <row r="28" spans="1:16" x14ac:dyDescent="0.3">
      <c r="A28" s="79" t="s">
        <v>164</v>
      </c>
      <c r="B28" s="83">
        <v>0</v>
      </c>
      <c r="C28" s="84">
        <v>0</v>
      </c>
      <c r="D28" s="83">
        <v>0</v>
      </c>
      <c r="E28" s="68">
        <f>SUM(G28:Z28)</f>
        <v>0</v>
      </c>
      <c r="F28" s="84" t="e">
        <f>ROUND(AVERAGE(G28:Z28),1)</f>
        <v>#DIV/0!</v>
      </c>
    </row>
    <row r="29" spans="1:16" x14ac:dyDescent="0.3">
      <c r="A29" s="79" t="s">
        <v>165</v>
      </c>
      <c r="B29" s="83">
        <v>0</v>
      </c>
      <c r="C29" s="84">
        <v>0</v>
      </c>
      <c r="D29" s="83">
        <v>0</v>
      </c>
      <c r="E29" s="68">
        <f>SUM(G29:Z29)</f>
        <v>0</v>
      </c>
      <c r="F29" s="84" t="e">
        <f>ROUND(AVERAGE(G29:Z29),1)</f>
        <v>#DIV/0!</v>
      </c>
    </row>
    <row r="30" spans="1:16" x14ac:dyDescent="0.3">
      <c r="A30" s="79" t="s">
        <v>167</v>
      </c>
      <c r="B30" s="83">
        <v>0</v>
      </c>
      <c r="C30" s="84">
        <v>0</v>
      </c>
      <c r="D30" s="83">
        <v>0</v>
      </c>
      <c r="E30" s="68">
        <f>SUM(G30:Z30)</f>
        <v>0</v>
      </c>
      <c r="F30" s="84" t="e">
        <f>ROUND(AVERAGE(G30:Z30),1)</f>
        <v>#DIV/0!</v>
      </c>
      <c r="K30" s="94"/>
      <c r="L30" s="94"/>
    </row>
    <row r="31" spans="1:16" x14ac:dyDescent="0.3">
      <c r="A31" s="79" t="s">
        <v>168</v>
      </c>
      <c r="B31" s="83">
        <v>0</v>
      </c>
      <c r="C31" s="84">
        <v>0</v>
      </c>
      <c r="D31" s="83">
        <v>0</v>
      </c>
      <c r="E31" s="68">
        <f>SUM(G31:Z31)</f>
        <v>0</v>
      </c>
      <c r="F31" s="84" t="e">
        <f>ROUND(AVERAGE(G31:Z31),1)</f>
        <v>#DIV/0!</v>
      </c>
    </row>
    <row r="32" spans="1:16" x14ac:dyDescent="0.3">
      <c r="A32" s="79" t="s">
        <v>169</v>
      </c>
      <c r="B32" s="83">
        <v>0</v>
      </c>
      <c r="C32" s="84">
        <v>0</v>
      </c>
      <c r="D32" s="83">
        <v>0</v>
      </c>
      <c r="E32" s="68">
        <f>SUM(G32:Z32)</f>
        <v>0</v>
      </c>
      <c r="F32" s="84" t="e">
        <f>ROUND(AVERAGE(G32:Z32),1)</f>
        <v>#DIV/0!</v>
      </c>
    </row>
    <row r="33" spans="1:14" x14ac:dyDescent="0.3">
      <c r="A33" s="79" t="s">
        <v>16</v>
      </c>
      <c r="B33" s="83">
        <v>0</v>
      </c>
      <c r="C33" s="84">
        <v>0</v>
      </c>
      <c r="D33" s="83">
        <v>0</v>
      </c>
      <c r="E33" s="68">
        <f>SUM(G33:Z33)</f>
        <v>0</v>
      </c>
      <c r="F33" s="84" t="e">
        <f>ROUND(AVERAGE(G33:Z33),1)</f>
        <v>#DIV/0!</v>
      </c>
    </row>
    <row r="34" spans="1:14" x14ac:dyDescent="0.3">
      <c r="A34" s="79" t="s">
        <v>188</v>
      </c>
      <c r="B34" s="83">
        <v>0</v>
      </c>
      <c r="C34" s="84">
        <v>0</v>
      </c>
      <c r="D34" s="83">
        <v>2</v>
      </c>
      <c r="E34" s="68">
        <f>SUM(G34:Z34)</f>
        <v>9</v>
      </c>
      <c r="F34" s="84">
        <f>ROUND(AVERAGE(G34:Z34),1)</f>
        <v>2.2999999999999998</v>
      </c>
      <c r="G34" s="83">
        <v>1</v>
      </c>
      <c r="H34" s="84">
        <v>2</v>
      </c>
      <c r="I34" s="83">
        <v>3</v>
      </c>
      <c r="J34" s="84">
        <v>3</v>
      </c>
      <c r="K34" s="94"/>
      <c r="L34" s="94"/>
    </row>
    <row r="35" spans="1:14" x14ac:dyDescent="0.3">
      <c r="A35" s="79" t="s">
        <v>171</v>
      </c>
      <c r="B35" s="83">
        <v>0</v>
      </c>
      <c r="C35" s="84">
        <v>0</v>
      </c>
      <c r="D35" s="83">
        <v>0</v>
      </c>
      <c r="E35" s="68">
        <f>SUM(G35:Z35)</f>
        <v>0</v>
      </c>
      <c r="F35" s="84" t="e">
        <f>ROUND(AVERAGE(G35:Z35),1)</f>
        <v>#DIV/0!</v>
      </c>
    </row>
    <row r="36" spans="1:14" x14ac:dyDescent="0.3">
      <c r="A36" s="79" t="s">
        <v>172</v>
      </c>
      <c r="B36" s="83">
        <v>0</v>
      </c>
      <c r="C36" s="84">
        <v>0</v>
      </c>
      <c r="D36" s="83">
        <v>0</v>
      </c>
      <c r="E36" s="68">
        <f>SUM(G36:Z36)</f>
        <v>0</v>
      </c>
      <c r="F36" s="84" t="e">
        <f>ROUND(AVERAGE(G36:Z36),1)</f>
        <v>#DIV/0!</v>
      </c>
    </row>
    <row r="37" spans="1:14" x14ac:dyDescent="0.3">
      <c r="A37" s="79" t="s">
        <v>13</v>
      </c>
      <c r="B37" s="83">
        <v>0</v>
      </c>
      <c r="C37" s="84">
        <v>0</v>
      </c>
      <c r="D37" s="83">
        <v>0</v>
      </c>
      <c r="E37" s="68">
        <f>SUM(G37:Z37)</f>
        <v>0</v>
      </c>
      <c r="F37" s="84" t="e">
        <f>ROUND(AVERAGE(G37:Z37),1)</f>
        <v>#DIV/0!</v>
      </c>
    </row>
    <row r="38" spans="1:14" x14ac:dyDescent="0.3">
      <c r="A38" s="79" t="s">
        <v>70</v>
      </c>
      <c r="B38" s="83">
        <v>2</v>
      </c>
      <c r="C38" s="84">
        <v>1</v>
      </c>
      <c r="D38" s="83">
        <v>1</v>
      </c>
      <c r="E38" s="68">
        <f>SUM(G38:Z38)</f>
        <v>0</v>
      </c>
      <c r="F38" s="84" t="e">
        <f>ROUND(AVERAGE(G38:Z38),1)</f>
        <v>#DIV/0!</v>
      </c>
      <c r="I38" s="83" t="s">
        <v>154</v>
      </c>
      <c r="J38" s="84" t="s">
        <v>154</v>
      </c>
      <c r="K38" s="94"/>
      <c r="L38" s="94"/>
    </row>
    <row r="39" spans="1:14" x14ac:dyDescent="0.3">
      <c r="A39" s="79" t="s">
        <v>8</v>
      </c>
      <c r="B39" s="83">
        <v>0</v>
      </c>
      <c r="C39" s="84">
        <v>0</v>
      </c>
      <c r="D39" s="83">
        <v>0</v>
      </c>
      <c r="E39" s="68">
        <f>SUM(G39:Z39)</f>
        <v>0</v>
      </c>
      <c r="F39" s="84" t="e">
        <f>ROUND(AVERAGE(G39:Z39),1)</f>
        <v>#DIV/0!</v>
      </c>
    </row>
    <row r="40" spans="1:14" x14ac:dyDescent="0.3">
      <c r="A40" s="79" t="s">
        <v>155</v>
      </c>
      <c r="B40" s="83">
        <v>2</v>
      </c>
      <c r="C40" s="84">
        <v>1</v>
      </c>
      <c r="D40" s="83">
        <v>3</v>
      </c>
      <c r="E40" s="68">
        <f>SUM(G40:Z40)</f>
        <v>12</v>
      </c>
      <c r="F40" s="84">
        <f>ROUND(AVERAGE(G40:Z40),1)</f>
        <v>3</v>
      </c>
      <c r="G40" s="83" t="s">
        <v>154</v>
      </c>
      <c r="H40" s="84" t="s">
        <v>154</v>
      </c>
      <c r="I40" s="83">
        <v>3</v>
      </c>
      <c r="J40" s="84">
        <v>3</v>
      </c>
      <c r="K40" s="94">
        <v>3</v>
      </c>
      <c r="L40" s="94">
        <v>3</v>
      </c>
    </row>
    <row r="41" spans="1:14" x14ac:dyDescent="0.3">
      <c r="A41" s="79" t="s">
        <v>41</v>
      </c>
      <c r="B41" s="83">
        <v>0</v>
      </c>
      <c r="C41" s="84">
        <v>0</v>
      </c>
      <c r="D41" s="83">
        <v>0</v>
      </c>
      <c r="E41" s="68">
        <f>SUM(G41:Z41)</f>
        <v>0</v>
      </c>
      <c r="F41" s="84" t="e">
        <f>ROUND(AVERAGE(G41:Z41),1)</f>
        <v>#DIV/0!</v>
      </c>
      <c r="K41" s="94"/>
      <c r="L41" s="94"/>
    </row>
    <row r="42" spans="1:14" x14ac:dyDescent="0.3">
      <c r="A42" s="79" t="s">
        <v>173</v>
      </c>
      <c r="B42" s="83">
        <v>0</v>
      </c>
      <c r="C42" s="84">
        <v>0</v>
      </c>
      <c r="D42" s="83">
        <v>0</v>
      </c>
      <c r="E42" s="68">
        <f>SUM(G42:Z42)</f>
        <v>0</v>
      </c>
      <c r="F42" s="84" t="e">
        <f>ROUND(AVERAGE(G42:Z42),1)</f>
        <v>#DIV/0!</v>
      </c>
      <c r="K42" s="94"/>
      <c r="L42" s="94"/>
    </row>
    <row r="43" spans="1:14" x14ac:dyDescent="0.3">
      <c r="A43" s="79" t="s">
        <v>174</v>
      </c>
      <c r="B43" s="83">
        <v>0</v>
      </c>
      <c r="C43" s="84">
        <v>0</v>
      </c>
      <c r="D43" s="83">
        <v>0</v>
      </c>
      <c r="E43" s="68">
        <f>SUM(G43:Z43)</f>
        <v>0</v>
      </c>
      <c r="F43" s="84" t="e">
        <f>ROUND(AVERAGE(G43:Z43),1)</f>
        <v>#DIV/0!</v>
      </c>
    </row>
    <row r="44" spans="1:14" x14ac:dyDescent="0.3">
      <c r="A44" s="79" t="s">
        <v>176</v>
      </c>
      <c r="B44" s="83">
        <v>0</v>
      </c>
      <c r="C44" s="84">
        <v>0</v>
      </c>
      <c r="D44" s="83">
        <v>0</v>
      </c>
      <c r="E44" s="68">
        <f>SUM(G44:Z44)</f>
        <v>0</v>
      </c>
      <c r="F44" s="84" t="e">
        <f>ROUND(AVERAGE(G44:Z44),1)</f>
        <v>#DIV/0!</v>
      </c>
      <c r="K44" s="94"/>
      <c r="L44" s="94"/>
    </row>
    <row r="45" spans="1:14" x14ac:dyDescent="0.3">
      <c r="A45" s="79" t="s">
        <v>177</v>
      </c>
      <c r="B45" s="83">
        <v>0</v>
      </c>
      <c r="C45" s="84">
        <v>0</v>
      </c>
      <c r="D45" s="83">
        <v>0</v>
      </c>
      <c r="E45" s="68">
        <f>SUM(G45:Z45)</f>
        <v>0</v>
      </c>
      <c r="F45" s="84" t="e">
        <f>ROUND(AVERAGE(G45:Z45),1)</f>
        <v>#DIV/0!</v>
      </c>
      <c r="K45" s="94"/>
      <c r="L45" s="94"/>
    </row>
    <row r="46" spans="1:14" x14ac:dyDescent="0.3">
      <c r="A46" s="79" t="s">
        <v>178</v>
      </c>
      <c r="B46" s="83">
        <v>0</v>
      </c>
      <c r="C46" s="84">
        <v>0</v>
      </c>
      <c r="D46" s="83">
        <v>0</v>
      </c>
      <c r="E46" s="68">
        <f>SUM(G46:Z46)</f>
        <v>0</v>
      </c>
      <c r="F46" s="84" t="e">
        <f>ROUND(AVERAGE(G46:Z46),1)</f>
        <v>#DIV/0!</v>
      </c>
    </row>
    <row r="47" spans="1:14" x14ac:dyDescent="0.3">
      <c r="A47" s="79" t="s">
        <v>47</v>
      </c>
      <c r="B47" s="83">
        <v>2</v>
      </c>
      <c r="C47" s="84">
        <v>1</v>
      </c>
      <c r="D47" s="83">
        <v>2</v>
      </c>
      <c r="E47" s="68">
        <f>SUM(G47:Z47)</f>
        <v>2</v>
      </c>
      <c r="F47" s="84">
        <f>ROUND(AVERAGE(G47:Z47),1)</f>
        <v>1</v>
      </c>
      <c r="K47" s="94">
        <v>1</v>
      </c>
      <c r="L47" s="94">
        <v>1</v>
      </c>
      <c r="M47" s="83" t="s">
        <v>154</v>
      </c>
      <c r="N47" s="84" t="s">
        <v>154</v>
      </c>
    </row>
    <row r="48" spans="1:14" x14ac:dyDescent="0.3">
      <c r="A48" s="79" t="s">
        <v>179</v>
      </c>
      <c r="B48" s="83">
        <v>0</v>
      </c>
      <c r="C48" s="84">
        <v>0</v>
      </c>
      <c r="D48" s="83">
        <v>0</v>
      </c>
      <c r="E48" s="68">
        <f>SUM(G48:Z48)</f>
        <v>0</v>
      </c>
      <c r="F48" s="84" t="e">
        <f>ROUND(AVERAGE(G48:Z48),1)</f>
        <v>#DIV/0!</v>
      </c>
      <c r="K48" s="94"/>
      <c r="L48" s="94"/>
    </row>
    <row r="49" spans="1:12" x14ac:dyDescent="0.3">
      <c r="A49" s="79" t="s">
        <v>180</v>
      </c>
      <c r="B49" s="83">
        <v>0</v>
      </c>
      <c r="C49" s="84">
        <v>0</v>
      </c>
      <c r="D49" s="83">
        <v>0</v>
      </c>
      <c r="E49" s="68">
        <f>SUM(G49:Z49)</f>
        <v>0</v>
      </c>
      <c r="F49" s="84" t="e">
        <f>ROUND(AVERAGE(G49:Z49),1)</f>
        <v>#DIV/0!</v>
      </c>
    </row>
    <row r="50" spans="1:12" x14ac:dyDescent="0.3">
      <c r="A50" s="79" t="s">
        <v>182</v>
      </c>
      <c r="B50" s="83">
        <v>2</v>
      </c>
      <c r="C50" s="84">
        <v>1</v>
      </c>
      <c r="D50" s="83">
        <v>1</v>
      </c>
      <c r="E50" s="68">
        <f>SUM(G50:Z50)</f>
        <v>0</v>
      </c>
      <c r="F50" s="84" t="e">
        <f>ROUND(AVERAGE(G50:Z50),1)</f>
        <v>#DIV/0!</v>
      </c>
      <c r="K50" s="83" t="s">
        <v>154</v>
      </c>
      <c r="L50" s="84" t="s">
        <v>154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ECBE3-C116-4081-AAF5-C23DF0AE4E41}">
  <dimension ref="A1:C17"/>
  <sheetViews>
    <sheetView workbookViewId="0">
      <selection activeCell="F11" sqref="F11"/>
    </sheetView>
  </sheetViews>
  <sheetFormatPr defaultRowHeight="14.4" x14ac:dyDescent="0.3"/>
  <sheetData>
    <row r="1" spans="1:3" x14ac:dyDescent="0.3">
      <c r="A1" s="85" t="s">
        <v>160</v>
      </c>
      <c r="B1" s="79" t="s">
        <v>160</v>
      </c>
      <c r="C1" s="79" t="s">
        <v>160</v>
      </c>
    </row>
    <row r="2" spans="1:3" x14ac:dyDescent="0.3">
      <c r="A2" s="85" t="s">
        <v>163</v>
      </c>
      <c r="B2" s="88" t="s">
        <v>163</v>
      </c>
      <c r="C2" s="79" t="s">
        <v>163</v>
      </c>
    </row>
    <row r="3" spans="1:3" x14ac:dyDescent="0.3">
      <c r="A3" s="86"/>
      <c r="B3" s="88"/>
      <c r="C3" s="88"/>
    </row>
    <row r="4" spans="1:3" x14ac:dyDescent="0.3">
      <c r="A4" s="87" t="s">
        <v>171</v>
      </c>
      <c r="B4" s="89" t="s">
        <v>171</v>
      </c>
      <c r="C4" s="88" t="s">
        <v>171</v>
      </c>
    </row>
    <row r="5" spans="1:3" x14ac:dyDescent="0.3">
      <c r="A5" s="87" t="s">
        <v>8</v>
      </c>
      <c r="B5" s="89" t="s">
        <v>8</v>
      </c>
      <c r="C5" s="79" t="s">
        <v>8</v>
      </c>
    </row>
    <row r="6" spans="1:3" x14ac:dyDescent="0.3">
      <c r="A6" s="86" t="s">
        <v>173</v>
      </c>
      <c r="B6" s="88" t="s">
        <v>173</v>
      </c>
      <c r="C6" s="79" t="s">
        <v>173</v>
      </c>
    </row>
    <row r="7" spans="1:3" x14ac:dyDescent="0.3">
      <c r="A7" s="87" t="s">
        <v>174</v>
      </c>
      <c r="B7" s="89" t="s">
        <v>174</v>
      </c>
      <c r="C7" s="88" t="s">
        <v>174</v>
      </c>
    </row>
    <row r="8" spans="1:3" x14ac:dyDescent="0.3">
      <c r="A8" s="87"/>
      <c r="B8" s="88"/>
      <c r="C8" s="79"/>
    </row>
    <row r="9" spans="1:3" x14ac:dyDescent="0.3">
      <c r="A9" s="85" t="s">
        <v>178</v>
      </c>
      <c r="B9" s="79" t="s">
        <v>178</v>
      </c>
      <c r="C9" s="79" t="s">
        <v>178</v>
      </c>
    </row>
    <row r="10" spans="1:3" x14ac:dyDescent="0.3">
      <c r="A10" s="87" t="s">
        <v>179</v>
      </c>
      <c r="B10" s="89" t="s">
        <v>179</v>
      </c>
      <c r="C10" s="88" t="s">
        <v>179</v>
      </c>
    </row>
    <row r="11" spans="1:3" x14ac:dyDescent="0.3">
      <c r="A11" s="87"/>
      <c r="B11" s="88" t="s">
        <v>180</v>
      </c>
      <c r="C11" s="79" t="s">
        <v>180</v>
      </c>
    </row>
    <row r="12" spans="1:3" x14ac:dyDescent="0.3">
      <c r="A12" s="85" t="s">
        <v>182</v>
      </c>
      <c r="B12" s="79" t="s">
        <v>182</v>
      </c>
    </row>
    <row r="13" spans="1:3" x14ac:dyDescent="0.3">
      <c r="A13" s="85"/>
      <c r="B13" s="79"/>
      <c r="C13" s="88"/>
    </row>
    <row r="14" spans="1:3" x14ac:dyDescent="0.3">
      <c r="A14" s="85"/>
      <c r="B14" s="88"/>
      <c r="C14" s="79"/>
    </row>
    <row r="15" spans="1:3" x14ac:dyDescent="0.3">
      <c r="A15" s="86"/>
      <c r="B15" s="88"/>
      <c r="C15" s="88"/>
    </row>
    <row r="16" spans="1:3" x14ac:dyDescent="0.3">
      <c r="C16" s="88"/>
    </row>
    <row r="17" spans="3:3" x14ac:dyDescent="0.3">
      <c r="C17" s="88"/>
    </row>
  </sheetData>
  <sortState xmlns:xlrd2="http://schemas.microsoft.com/office/spreadsheetml/2017/richdata2" ref="C1:C22">
    <sortCondition ref="C1:C2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CWL 1</vt:lpstr>
      <vt:lpstr>CWL 2</vt:lpstr>
      <vt:lpstr>avv</vt:lpstr>
      <vt:lpstr>partecipanti</vt:lpstr>
      <vt:lpstr>wars</vt:lpstr>
      <vt:lpstr>inatttivi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Utente</cp:lastModifiedBy>
  <dcterms:created xsi:type="dcterms:W3CDTF">2025-11-06T14:05:00Z</dcterms:created>
  <dcterms:modified xsi:type="dcterms:W3CDTF">2025-12-30T19:23:00Z</dcterms:modified>
</cp:coreProperties>
</file>