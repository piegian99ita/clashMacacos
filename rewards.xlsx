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FCBE0FB2-80E0-4AE1-9BD9-634222CF0202}" xr6:coauthVersionLast="47" xr6:coauthVersionMax="47" xr10:uidLastSave="{00000000-0000-0000-0000-000000000000}"/>
  <bookViews>
    <workbookView xWindow="22932" yWindow="-108" windowWidth="23256" windowHeight="12576" activeTab="4" xr2:uid="{00000000-000D-0000-FFFF-FFFF00000000}"/>
  </bookViews>
  <sheets>
    <sheet name="CWL 1" sheetId="1" r:id="rId1"/>
    <sheet name="CWL 2" sheetId="2" r:id="rId2"/>
    <sheet name="CWL 3" sheetId="3" r:id="rId3"/>
    <sheet name="avv" sheetId="4" r:id="rId4"/>
    <sheet name="partecipanti" sheetId="5" r:id="rId5"/>
    <sheet name="wars" sheetId="6" r:id="rId6"/>
  </sheets>
  <definedNames>
    <definedName name="_xlnm._FilterDatabase" localSheetId="5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6" l="1"/>
  <c r="F33" i="6"/>
  <c r="F34" i="6"/>
  <c r="F35" i="6"/>
  <c r="F38" i="6"/>
  <c r="F41" i="6"/>
  <c r="F47" i="6"/>
  <c r="F51" i="6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9" i="6"/>
  <c r="F21" i="6"/>
  <c r="F22" i="6"/>
  <c r="F24" i="6"/>
  <c r="F26" i="6"/>
  <c r="F27" i="6"/>
  <c r="F29" i="6"/>
  <c r="F30" i="6"/>
  <c r="F32" i="6"/>
  <c r="F39" i="6"/>
  <c r="F40" i="6"/>
  <c r="F42" i="6"/>
  <c r="F43" i="6"/>
  <c r="F44" i="6"/>
  <c r="F45" i="6"/>
  <c r="F46" i="6"/>
  <c r="F48" i="6"/>
  <c r="F49" i="6"/>
  <c r="F50" i="6"/>
  <c r="F20" i="6"/>
  <c r="F36" i="6"/>
  <c r="F18" i="6"/>
  <c r="F37" i="6"/>
  <c r="F23" i="6"/>
  <c r="F25" i="6"/>
  <c r="F28" i="6"/>
  <c r="E14" i="6"/>
  <c r="E9" i="6"/>
  <c r="E40" i="6"/>
  <c r="E17" i="6"/>
  <c r="E6" i="6"/>
  <c r="E20" i="6"/>
  <c r="E36" i="6"/>
  <c r="E19" i="6"/>
  <c r="E25" i="6"/>
  <c r="E7" i="6"/>
  <c r="E46" i="6"/>
  <c r="E3" i="6"/>
  <c r="E51" i="6"/>
  <c r="E8" i="6"/>
  <c r="E50" i="6"/>
  <c r="E48" i="6"/>
  <c r="E47" i="6"/>
  <c r="E45" i="6"/>
  <c r="E44" i="6"/>
  <c r="E43" i="6"/>
  <c r="E42" i="6"/>
  <c r="E39" i="6"/>
  <c r="E38" i="6"/>
  <c r="E35" i="6"/>
  <c r="E33" i="6"/>
  <c r="E32" i="6"/>
  <c r="E30" i="6"/>
  <c r="E29" i="6"/>
  <c r="E28" i="6"/>
  <c r="E27" i="6"/>
  <c r="E24" i="6"/>
  <c r="E23" i="6"/>
  <c r="E22" i="6"/>
  <c r="E21" i="6"/>
  <c r="E18" i="6"/>
  <c r="E15" i="6"/>
  <c r="E12" i="6"/>
  <c r="E11" i="6"/>
  <c r="E10" i="6"/>
  <c r="E5" i="6"/>
  <c r="E4" i="6"/>
  <c r="E41" i="6"/>
  <c r="E37" i="6"/>
  <c r="E34" i="6"/>
  <c r="E49" i="6"/>
  <c r="E31" i="6"/>
  <c r="E26" i="6"/>
  <c r="E13" i="6"/>
  <c r="E2" i="6"/>
  <c r="E16" i="6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<sst xmlns="http://schemas.openxmlformats.org/spreadsheetml/2006/main" count="545" uniqueCount="251">
  <si>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</si>
  <si>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</si>
  <si>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</si>
  <si>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</si>
  <si>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</si>
  <si>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</si>
  <si>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</si>
  <si>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</si>
  <si>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</si>
  <si>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</si>
  <si>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</si>
  <si>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</si>
  <si>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</si>
  <si>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</si>
  <si>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</si>
  <si>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</si>
  <si>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</si>
  <si>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</si>
  <si>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</si>
  <si>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</si>
  <si>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</si>
  <si>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</si>
  <si>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</si>
  <si>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</si>
  <si>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</si>
  <si>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</si>
  <si>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</si>
  <si>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</si>
  <si>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</si>
  <si>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</si>
  <si>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</si>
  <si>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</si>
  <si>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</si>
  <si>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</si>
  <si>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</si>
  <si>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</si>
  <si>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</si>
  <si>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</si>
  <si>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</si>
  <si>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</si>
  <si>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</si>
  <si>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</si>
  <si>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</si>
  <si>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</si>
  <si>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</si>
  <si>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</si>
  <si>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</si>
  <si>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</si>
  <si>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</si>
  <si>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</si>
  <si>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</si>
  <si>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</si>
  <si>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</si>
  <si>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</si>
  <si>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</si>
  <si>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</si>
  <si>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</si>
  <si>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</si>
  <si>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</si>
  <si>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</si>
  <si>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</si>
  <si>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</si>
  <si>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</si>
  <si>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</si>
  <si>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</si>
  <si>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</si>
  <si>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</si>
  <si>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</si>
  <si>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</si>
  <si>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</si>
  <si>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</si>
  <si>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</si>
  <si>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</si>
  <si>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</si>
  <si>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</si>
  <si>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</si>
  <si>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</si>
  <si>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</si>
  <si>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</si>
  <si>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</si>
  <si>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</si>
  <si>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</si>
  <si>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</si>
  <si>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</si>
  <si>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</si>
  <si>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</si>
  <si>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</si>
  <si>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</si>
  <si>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</si>
  <si>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</si>
  <si>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</si>
  <si>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</si>
  <si>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</si>
  <si>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</si>
  <si>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>Dado</t>
  </si>
  <si>
    <t>Ale22</t>
  </si>
  <si>
    <t>Chabby</t>
  </si>
  <si>
    <t>dela</t>
  </si>
  <si>
    <t>Cleopatra</t>
  </si>
  <si>
    <t>edododo</t>
  </si>
  <si>
    <t>nik</t>
  </si>
  <si>
    <t>Giosan</t>
  </si>
  <si>
    <t>buff x bow</t>
  </si>
  <si>
    <t>christian</t>
  </si>
  <si>
    <t>Leo</t>
  </si>
  <si>
    <t>Giorgio</t>
  </si>
  <si>
    <t>king</t>
  </si>
  <si>
    <t>fabio</t>
  </si>
  <si>
    <t>Loris</t>
  </si>
  <si>
    <t>daniele</t>
  </si>
  <si>
    <t>Omar</t>
  </si>
  <si>
    <t>serra</t>
  </si>
  <si>
    <t>federico99</t>
  </si>
  <si>
    <t>Robby</t>
  </si>
  <si>
    <t>sidcu js</t>
  </si>
  <si>
    <t>lord pucci</t>
  </si>
  <si>
    <t>zine</t>
  </si>
  <si>
    <t>danielpica</t>
  </si>
  <si>
    <t>Staenta</t>
  </si>
  <si>
    <t>loris</t>
  </si>
  <si>
    <t>subohm</t>
  </si>
  <si>
    <t>Xblade</t>
  </si>
  <si>
    <t>xnullx</t>
  </si>
  <si>
    <t>queen of shadow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</si>
  <si>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</si>
  <si>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</si>
  <si>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</si>
  <si>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</si>
  <si>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</si>
  <si>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</si>
  <si>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</si>
  <si>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</si>
  <si>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</si>
  <si>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</si>
  <si>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</si>
  <si>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</si>
  <si>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</si>
  <si>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</si>
  <si>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</si>
  <si>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</si>
  <si>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</si>
  <si>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</si>
  <si>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</si>
  <si>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</si>
  <si>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</si>
  <si>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</si>
  <si>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</si>
  <si>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</si>
  <si>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</si>
  <si>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</si>
  <si>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</si>
  <si>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</si>
  <si>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</si>
  <si>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</si>
  <si>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</si>
  <si>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</si>
  <si>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</si>
  <si>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</si>
  <si>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</si>
  <si>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</si>
  <si>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</si>
  <si>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</si>
  <si>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</si>
  <si>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</si>
  <si>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</si>
  <si>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</si>
  <si>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</si>
  <si>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</si>
  <si>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</si>
  <si>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</si>
  <si>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</si>
  <si>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</si>
  <si>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</si>
  <si>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</si>
  <si>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</si>
  <si>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</si>
  <si>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</si>
  <si>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</si>
  <si>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</si>
  <si>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</si>
  <si>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</si>
  <si>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</si>
  <si>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</si>
  <si>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</si>
  <si>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</si>
  <si>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</si>
  <si>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</si>
  <si>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</si>
  <si>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</si>
  <si>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</si>
  <si>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</si>
  <si>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</si>
  <si>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</si>
  <si>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</si>
  <si>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</si>
  <si>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</si>
  <si>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</si>
  <si>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</si>
  <si>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</si>
  <si>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</si>
  <si>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</si>
  <si>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</si>
  <si>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</si>
  <si>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</si>
  <si>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</si>
  <si>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</si>
  <si>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</si>
  <si>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</si>
  <si>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</si>
  <si>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</si>
  <si>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revolver</t>
  </si>
  <si>
    <t>BigMc23</t>
  </si>
  <si>
    <t>buff x-bow</t>
  </si>
  <si>
    <t>EdoDodo</t>
  </si>
  <si>
    <t>Stentaaa</t>
  </si>
  <si>
    <t>andriu07</t>
  </si>
  <si>
    <t>zordan</t>
  </si>
  <si>
    <t>655321</t>
  </si>
  <si>
    <t>tazio</t>
  </si>
  <si>
    <t>alhfmfh</t>
  </si>
  <si>
    <t>GioStyle</t>
  </si>
  <si>
    <t>francesco</t>
  </si>
  <si>
    <t>PIPPII</t>
  </si>
  <si>
    <t>Fryck</t>
  </si>
  <si>
    <t>alesofi</t>
  </si>
  <si>
    <t>fabiovesco</t>
  </si>
  <si>
    <t>sammesc</t>
  </si>
  <si>
    <t>Anton 48</t>
  </si>
  <si>
    <t>DARKGOST9</t>
  </si>
  <si>
    <t>WAR-12 (2)</t>
  </si>
  <si>
    <t>WAR-12(1)</t>
  </si>
  <si>
    <t>WAR-13 (1)</t>
  </si>
  <si>
    <t>WAR-13 (2)</t>
  </si>
  <si>
    <t xml:space="preserve"> </t>
  </si>
  <si>
    <t>CWL 4</t>
  </si>
  <si>
    <t xml:space="preserve">dado        </t>
  </si>
  <si>
    <t xml:space="preserve">Ale22       </t>
  </si>
  <si>
    <t xml:space="preserve">piegian99   </t>
  </si>
  <si>
    <t xml:space="preserve">Stentaaa    </t>
  </si>
  <si>
    <t xml:space="preserve">zordan      </t>
  </si>
  <si>
    <t xml:space="preserve">Luigi       </t>
  </si>
  <si>
    <t xml:space="preserve">PIPPII      </t>
  </si>
  <si>
    <t xml:space="preserve">HikariNoRob </t>
  </si>
  <si>
    <t xml:space="preserve">pigiamone99 </t>
  </si>
  <si>
    <t xml:space="preserve">revolver    </t>
  </si>
  <si>
    <t xml:space="preserve">haha        </t>
  </si>
  <si>
    <t>LucFir3</t>
  </si>
  <si>
    <t>The_Boff01</t>
  </si>
  <si>
    <t>Kle</t>
  </si>
  <si>
    <t>Killer46</t>
  </si>
  <si>
    <t>Rixxy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</si>
</sst>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21" borderId="0" xfId="0" applyFill="1"/>
    <xf numFmtId="0" fontId="0" fillId="0" borderId="0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3" width="9.140625" style="4" customWidth="1"/>
    <col min="34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7" width="9.140625" style="39" customWidth="1"/>
    <col min="28" max="16384" width="9.140625" style="39"/>
  </cols>
  <sheetData>
    <row r="1" spans="1:23" ht="15.75" customHeight="1" thickBot="1" x14ac:dyDescent="0.3">
      <c r="B1" s="61"/>
      <c r="C1" s="114">
        <v>1</v>
      </c>
      <c r="D1" s="115"/>
      <c r="E1" s="116"/>
      <c r="F1" s="114">
        <v>2</v>
      </c>
      <c r="G1" s="115"/>
      <c r="H1" s="116"/>
      <c r="I1" s="114">
        <v>3</v>
      </c>
      <c r="J1" s="115"/>
      <c r="K1" s="116"/>
      <c r="L1" s="114">
        <v>4</v>
      </c>
      <c r="M1" s="115"/>
      <c r="N1" s="116"/>
      <c r="O1" s="114">
        <v>5</v>
      </c>
      <c r="P1" s="115"/>
      <c r="Q1" s="116"/>
      <c r="R1" s="114">
        <v>6</v>
      </c>
      <c r="S1" s="115"/>
      <c r="T1" s="116"/>
      <c r="U1" s="114">
        <v>7</v>
      </c>
      <c r="V1" s="115"/>
      <c r="W1" s="116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B11" sqref="B11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14">
        <v>1</v>
      </c>
      <c r="D1" s="115"/>
      <c r="E1" s="116"/>
      <c r="F1" s="114">
        <v>2</v>
      </c>
      <c r="G1" s="115"/>
      <c r="H1" s="116"/>
      <c r="I1" s="114">
        <v>3</v>
      </c>
      <c r="J1" s="115"/>
      <c r="K1" s="116"/>
      <c r="L1" s="114">
        <v>4</v>
      </c>
      <c r="M1" s="115"/>
      <c r="N1" s="116"/>
      <c r="O1" s="114">
        <v>5</v>
      </c>
      <c r="P1" s="115"/>
      <c r="Q1" s="116"/>
      <c r="R1" s="114">
        <v>6</v>
      </c>
      <c r="S1" s="115"/>
      <c r="T1" s="116"/>
      <c r="U1" s="114">
        <v>7</v>
      </c>
      <c r="V1" s="115"/>
      <c r="W1" s="116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4" width="9.140625" style="68" customWidth="1"/>
    <col min="5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7" t="s">
        <v>91</v>
      </c>
      <c r="B32" s="115"/>
      <c r="C32" s="115"/>
      <c r="D32" s="115"/>
      <c r="E32" s="115"/>
      <c r="F32" s="115"/>
      <c r="G32" s="115"/>
      <c r="H32" s="116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9"/>
  <sheetViews>
    <sheetView tabSelected="1" topLeftCell="I1" workbookViewId="0">
      <selection activeCell="AD20" sqref="AD20"/>
    </sheetView>
  </sheetViews>
  <sheetFormatPr defaultRowHeight="15" x14ac:dyDescent="0.25"/>
  <sheetData>
    <row r="1" spans="1:31" x14ac:dyDescent="0.25">
      <c r="A1">
        <v>16</v>
      </c>
      <c r="B1" t="s">
        <v>4</v>
      </c>
      <c r="R1" t="s">
        <v>92</v>
      </c>
      <c r="S1" t="s">
        <v>80</v>
      </c>
      <c r="X1" s="78" t="s">
        <v>93</v>
      </c>
      <c r="AA1" t="s">
        <v>233</v>
      </c>
      <c r="AB1" s="118" t="s">
        <v>234</v>
      </c>
    </row>
    <row r="2" spans="1:31" x14ac:dyDescent="0.25">
      <c r="A2">
        <v>15</v>
      </c>
      <c r="B2" t="s">
        <v>41</v>
      </c>
      <c r="R2" t="s">
        <v>92</v>
      </c>
      <c r="S2" t="s">
        <v>7</v>
      </c>
      <c r="X2" t="s">
        <v>44</v>
      </c>
      <c r="AB2" t="s">
        <v>215</v>
      </c>
      <c r="AD2" t="s">
        <v>236</v>
      </c>
      <c r="AE2" t="s">
        <v>66</v>
      </c>
    </row>
    <row r="3" spans="1:31" x14ac:dyDescent="0.25">
      <c r="A3">
        <v>15</v>
      </c>
      <c r="B3" t="s">
        <v>6</v>
      </c>
      <c r="I3">
        <v>13</v>
      </c>
      <c r="J3" t="s">
        <v>8</v>
      </c>
      <c r="R3" t="s">
        <v>92</v>
      </c>
      <c r="S3" t="s">
        <v>94</v>
      </c>
      <c r="W3" s="81" t="s">
        <v>82</v>
      </c>
      <c r="X3" s="78" t="s">
        <v>95</v>
      </c>
      <c r="AB3" t="s">
        <v>212</v>
      </c>
      <c r="AD3" t="s">
        <v>62</v>
      </c>
      <c r="AE3" t="s">
        <v>225</v>
      </c>
    </row>
    <row r="4" spans="1:31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R4" t="s">
        <v>92</v>
      </c>
      <c r="S4" t="s">
        <v>27</v>
      </c>
      <c r="W4" s="78" t="s">
        <v>96</v>
      </c>
      <c r="AB4" t="s">
        <v>235</v>
      </c>
      <c r="AD4" t="s">
        <v>72</v>
      </c>
      <c r="AE4" t="s">
        <v>71</v>
      </c>
    </row>
    <row r="5" spans="1:31" x14ac:dyDescent="0.25">
      <c r="A5">
        <v>13</v>
      </c>
      <c r="B5" t="s">
        <v>12</v>
      </c>
      <c r="E5" t="s">
        <v>80</v>
      </c>
      <c r="I5">
        <v>13</v>
      </c>
      <c r="J5" t="s">
        <v>97</v>
      </c>
      <c r="R5" t="s">
        <v>92</v>
      </c>
      <c r="S5" t="s">
        <v>61</v>
      </c>
      <c r="W5" s="81" t="s">
        <v>98</v>
      </c>
      <c r="AB5" t="s">
        <v>70</v>
      </c>
      <c r="AD5">
        <v>655321</v>
      </c>
      <c r="AE5" t="s">
        <v>249</v>
      </c>
    </row>
    <row r="6" spans="1:31" x14ac:dyDescent="0.25">
      <c r="A6">
        <v>13</v>
      </c>
      <c r="B6" t="s">
        <v>42</v>
      </c>
      <c r="E6" t="s">
        <v>99</v>
      </c>
      <c r="I6">
        <v>12</v>
      </c>
      <c r="J6" t="s">
        <v>100</v>
      </c>
      <c r="R6" t="s">
        <v>92</v>
      </c>
      <c r="S6" t="s">
        <v>101</v>
      </c>
      <c r="W6" s="81" t="s">
        <v>71</v>
      </c>
      <c r="AB6" t="s">
        <v>221</v>
      </c>
      <c r="AD6" t="s">
        <v>105</v>
      </c>
      <c r="AE6" t="s">
        <v>248</v>
      </c>
    </row>
    <row r="7" spans="1:31" x14ac:dyDescent="0.25">
      <c r="A7">
        <v>13</v>
      </c>
      <c r="B7" t="s">
        <v>7</v>
      </c>
      <c r="I7">
        <v>12</v>
      </c>
      <c r="J7" t="s">
        <v>102</v>
      </c>
      <c r="R7" t="s">
        <v>92</v>
      </c>
      <c r="S7" t="s">
        <v>16</v>
      </c>
      <c r="W7" s="81" t="s">
        <v>84</v>
      </c>
      <c r="AB7" t="s">
        <v>223</v>
      </c>
      <c r="AD7" t="s">
        <v>96</v>
      </c>
      <c r="AE7" t="s">
        <v>220</v>
      </c>
    </row>
    <row r="8" spans="1:31" x14ac:dyDescent="0.25">
      <c r="A8">
        <v>13</v>
      </c>
      <c r="B8" t="s">
        <v>18</v>
      </c>
      <c r="R8" t="s">
        <v>92</v>
      </c>
      <c r="S8" t="s">
        <v>17</v>
      </c>
      <c r="W8" s="78" t="s">
        <v>83</v>
      </c>
      <c r="AB8" t="s">
        <v>69</v>
      </c>
      <c r="AD8" t="s">
        <v>219</v>
      </c>
      <c r="AE8" t="s">
        <v>246</v>
      </c>
    </row>
    <row r="9" spans="1:31" x14ac:dyDescent="0.25">
      <c r="A9">
        <v>13</v>
      </c>
      <c r="B9" t="s">
        <v>52</v>
      </c>
      <c r="I9">
        <v>12</v>
      </c>
      <c r="J9" t="s">
        <v>103</v>
      </c>
      <c r="R9" t="s">
        <v>92</v>
      </c>
      <c r="S9" t="s">
        <v>104</v>
      </c>
      <c r="W9" s="78" t="s">
        <v>69</v>
      </c>
      <c r="AB9" t="s">
        <v>61</v>
      </c>
      <c r="AD9" t="s">
        <v>213</v>
      </c>
      <c r="AE9" t="s">
        <v>76</v>
      </c>
    </row>
    <row r="10" spans="1:31" x14ac:dyDescent="0.25">
      <c r="A10">
        <v>13</v>
      </c>
      <c r="B10" t="s">
        <v>11</v>
      </c>
      <c r="R10" t="s">
        <v>92</v>
      </c>
      <c r="S10" t="s">
        <v>64</v>
      </c>
      <c r="W10" s="78" t="s">
        <v>105</v>
      </c>
      <c r="AB10" t="s">
        <v>245</v>
      </c>
      <c r="AD10" t="s">
        <v>211</v>
      </c>
      <c r="AE10" t="s">
        <v>250</v>
      </c>
    </row>
    <row r="11" spans="1:31" x14ac:dyDescent="0.25">
      <c r="A11">
        <v>13</v>
      </c>
      <c r="B11" t="s">
        <v>20</v>
      </c>
      <c r="I11">
        <v>12</v>
      </c>
      <c r="J11" t="s">
        <v>23</v>
      </c>
      <c r="R11" t="s">
        <v>92</v>
      </c>
      <c r="S11" t="s">
        <v>73</v>
      </c>
      <c r="W11" s="81" t="s">
        <v>106</v>
      </c>
      <c r="AB11" t="s">
        <v>242</v>
      </c>
      <c r="AE11" t="s">
        <v>86</v>
      </c>
    </row>
    <row r="12" spans="1:31" x14ac:dyDescent="0.25">
      <c r="A12">
        <v>12</v>
      </c>
      <c r="B12" t="s">
        <v>45</v>
      </c>
      <c r="I12">
        <v>12</v>
      </c>
      <c r="J12" t="s">
        <v>107</v>
      </c>
      <c r="R12" t="s">
        <v>92</v>
      </c>
      <c r="S12" t="s">
        <v>76</v>
      </c>
      <c r="W12" s="81" t="s">
        <v>108</v>
      </c>
      <c r="AB12" t="s">
        <v>13</v>
      </c>
      <c r="AE12" t="s">
        <v>218</v>
      </c>
    </row>
    <row r="13" spans="1:31" x14ac:dyDescent="0.25">
      <c r="A13">
        <v>12</v>
      </c>
      <c r="B13" t="s">
        <v>47</v>
      </c>
      <c r="I13">
        <v>12</v>
      </c>
      <c r="J13" t="s">
        <v>109</v>
      </c>
      <c r="R13" t="s">
        <v>92</v>
      </c>
      <c r="S13" t="s">
        <v>110</v>
      </c>
      <c r="W13" s="78" t="s">
        <v>41</v>
      </c>
      <c r="AB13" t="s">
        <v>240</v>
      </c>
      <c r="AE13" t="s">
        <v>247</v>
      </c>
    </row>
    <row r="14" spans="1:31" x14ac:dyDescent="0.25">
      <c r="A14">
        <v>12</v>
      </c>
      <c r="B14" t="s">
        <v>27</v>
      </c>
      <c r="I14">
        <v>12</v>
      </c>
      <c r="J14" t="s">
        <v>19</v>
      </c>
      <c r="R14" t="s">
        <v>92</v>
      </c>
      <c r="S14" t="s">
        <v>10</v>
      </c>
      <c r="W14" s="81" t="s">
        <v>65</v>
      </c>
      <c r="AB14" t="s">
        <v>73</v>
      </c>
    </row>
    <row r="15" spans="1:31" x14ac:dyDescent="0.25">
      <c r="A15">
        <v>12</v>
      </c>
      <c r="B15" t="s">
        <v>111</v>
      </c>
      <c r="I15">
        <v>12</v>
      </c>
      <c r="J15" t="s">
        <v>112</v>
      </c>
      <c r="R15" t="s">
        <v>92</v>
      </c>
      <c r="S15" t="s">
        <v>45</v>
      </c>
      <c r="W15" s="81" t="s">
        <v>86</v>
      </c>
      <c r="AB15" t="s">
        <v>237</v>
      </c>
    </row>
    <row r="16" spans="1:31" x14ac:dyDescent="0.25">
      <c r="A16">
        <v>12</v>
      </c>
      <c r="B16" t="s">
        <v>14</v>
      </c>
      <c r="R16" t="s">
        <v>92</v>
      </c>
      <c r="S16" t="s">
        <v>113</v>
      </c>
      <c r="W16" s="78" t="s">
        <v>114</v>
      </c>
      <c r="AB16" t="s">
        <v>243</v>
      </c>
    </row>
    <row r="17" spans="1:28" x14ac:dyDescent="0.25">
      <c r="A17">
        <v>12</v>
      </c>
      <c r="B17" t="s">
        <v>13</v>
      </c>
      <c r="I17">
        <v>12</v>
      </c>
      <c r="J17" t="s">
        <v>115</v>
      </c>
      <c r="R17" t="s">
        <v>92</v>
      </c>
      <c r="S17" t="s">
        <v>22</v>
      </c>
      <c r="W17" s="81" t="s">
        <v>116</v>
      </c>
      <c r="AB17" t="s">
        <v>241</v>
      </c>
    </row>
    <row r="18" spans="1:28" x14ac:dyDescent="0.25">
      <c r="A18">
        <v>12</v>
      </c>
      <c r="B18" t="s">
        <v>46</v>
      </c>
      <c r="I18">
        <v>11</v>
      </c>
      <c r="J18" t="s">
        <v>29</v>
      </c>
      <c r="R18" t="s">
        <v>92</v>
      </c>
      <c r="S18" t="s">
        <v>77</v>
      </c>
      <c r="W18" s="78" t="s">
        <v>117</v>
      </c>
      <c r="AB18" t="s">
        <v>244</v>
      </c>
    </row>
    <row r="19" spans="1:28" x14ac:dyDescent="0.25">
      <c r="A19">
        <v>12</v>
      </c>
      <c r="B19" t="s">
        <v>17</v>
      </c>
      <c r="I19">
        <v>11</v>
      </c>
      <c r="J19" t="s">
        <v>34</v>
      </c>
      <c r="R19" t="s">
        <v>92</v>
      </c>
      <c r="S19" t="s">
        <v>118</v>
      </c>
      <c r="W19" s="81" t="s">
        <v>119</v>
      </c>
      <c r="AB19" t="s">
        <v>79</v>
      </c>
    </row>
    <row r="20" spans="1:28" x14ac:dyDescent="0.25">
      <c r="A20">
        <v>12</v>
      </c>
      <c r="B20" t="s">
        <v>43</v>
      </c>
      <c r="R20" t="s">
        <v>92</v>
      </c>
      <c r="S20" t="s">
        <v>120</v>
      </c>
      <c r="W20" s="78"/>
      <c r="AB20" t="s">
        <v>22</v>
      </c>
    </row>
    <row r="21" spans="1:28" x14ac:dyDescent="0.25">
      <c r="A21">
        <v>12</v>
      </c>
      <c r="B21" t="s">
        <v>50</v>
      </c>
      <c r="R21" t="s">
        <v>92</v>
      </c>
      <c r="S21" t="s">
        <v>32</v>
      </c>
      <c r="W21" s="81"/>
      <c r="AB21" t="s">
        <v>238</v>
      </c>
    </row>
    <row r="22" spans="1:28" x14ac:dyDescent="0.25">
      <c r="A22">
        <v>12</v>
      </c>
      <c r="B22" t="s">
        <v>53</v>
      </c>
      <c r="R22" t="s">
        <v>92</v>
      </c>
      <c r="S22" t="s">
        <v>62</v>
      </c>
      <c r="W22" s="78"/>
      <c r="AB22" t="s">
        <v>74</v>
      </c>
    </row>
    <row r="23" spans="1:28" x14ac:dyDescent="0.25">
      <c r="A23">
        <v>12</v>
      </c>
      <c r="B23" t="s">
        <v>48</v>
      </c>
      <c r="R23" t="s">
        <v>92</v>
      </c>
      <c r="S23" t="s">
        <v>121</v>
      </c>
      <c r="W23" s="78"/>
      <c r="AB23" t="s">
        <v>57</v>
      </c>
    </row>
    <row r="24" spans="1:28" x14ac:dyDescent="0.25">
      <c r="A24">
        <v>12</v>
      </c>
      <c r="B24" t="s">
        <v>36</v>
      </c>
      <c r="R24" t="s">
        <v>92</v>
      </c>
      <c r="S24" t="s">
        <v>122</v>
      </c>
      <c r="W24" s="78"/>
      <c r="AB24" t="s">
        <v>239</v>
      </c>
    </row>
    <row r="25" spans="1:28" x14ac:dyDescent="0.25">
      <c r="A25">
        <v>12</v>
      </c>
      <c r="B25" t="s">
        <v>32</v>
      </c>
      <c r="R25" t="s">
        <v>92</v>
      </c>
      <c r="S25" t="s">
        <v>43</v>
      </c>
      <c r="W25" s="81"/>
    </row>
    <row r="26" spans="1:28" x14ac:dyDescent="0.25">
      <c r="A26">
        <v>12</v>
      </c>
      <c r="B26" t="s">
        <v>28</v>
      </c>
      <c r="R26" t="s">
        <v>92</v>
      </c>
      <c r="S26" t="s">
        <v>123</v>
      </c>
      <c r="W26" s="81"/>
    </row>
    <row r="27" spans="1:28" x14ac:dyDescent="0.25">
      <c r="A27">
        <v>12</v>
      </c>
      <c r="B27" t="s">
        <v>51</v>
      </c>
      <c r="R27" t="s">
        <v>92</v>
      </c>
      <c r="S27" t="s">
        <v>47</v>
      </c>
      <c r="W27" s="81"/>
    </row>
    <row r="28" spans="1:28" x14ac:dyDescent="0.25">
      <c r="A28">
        <v>12</v>
      </c>
      <c r="B28" t="s">
        <v>16</v>
      </c>
      <c r="R28" t="s">
        <v>92</v>
      </c>
      <c r="S28" t="s">
        <v>124</v>
      </c>
      <c r="W28" s="81"/>
    </row>
    <row r="29" spans="1:28" x14ac:dyDescent="0.25">
      <c r="A29">
        <v>12</v>
      </c>
      <c r="B29" t="s">
        <v>24</v>
      </c>
      <c r="R29" t="s">
        <v>125</v>
      </c>
      <c r="S29" s="81" t="s">
        <v>66</v>
      </c>
      <c r="W29" s="78"/>
    </row>
    <row r="30" spans="1:28" x14ac:dyDescent="0.25">
      <c r="W30" s="78"/>
    </row>
    <row r="31" spans="1:28" x14ac:dyDescent="0.25">
      <c r="W31" s="78"/>
    </row>
    <row r="32" spans="1:28" x14ac:dyDescent="0.25">
      <c r="W32" s="81"/>
    </row>
    <row r="33" spans="23:23" x14ac:dyDescent="0.25">
      <c r="W33" s="81"/>
    </row>
    <row r="34" spans="23:23" x14ac:dyDescent="0.25">
      <c r="W34" s="78"/>
    </row>
    <row r="35" spans="23:23" x14ac:dyDescent="0.25">
      <c r="W35" s="81"/>
    </row>
    <row r="36" spans="23:23" x14ac:dyDescent="0.25">
      <c r="W36" s="78"/>
    </row>
    <row r="37" spans="23:23" x14ac:dyDescent="0.25">
      <c r="W37" s="78"/>
    </row>
    <row r="38" spans="23:23" x14ac:dyDescent="0.25">
      <c r="W38" s="81"/>
    </row>
    <row r="39" spans="23:23" x14ac:dyDescent="0.25">
      <c r="W39" s="78"/>
    </row>
    <row r="40" spans="23:23" x14ac:dyDescent="0.25">
      <c r="W40" s="78"/>
    </row>
    <row r="41" spans="23:23" x14ac:dyDescent="0.25">
      <c r="W41" s="81"/>
    </row>
    <row r="42" spans="23:23" x14ac:dyDescent="0.25">
      <c r="W42" s="78"/>
    </row>
    <row r="43" spans="23:23" x14ac:dyDescent="0.25">
      <c r="W43" s="81"/>
    </row>
    <row r="44" spans="23:23" x14ac:dyDescent="0.25">
      <c r="W44" s="78"/>
    </row>
    <row r="45" spans="23:23" x14ac:dyDescent="0.25">
      <c r="W45" s="81"/>
    </row>
    <row r="46" spans="23:23" x14ac:dyDescent="0.25">
      <c r="W46" s="81"/>
    </row>
    <row r="47" spans="23:23" x14ac:dyDescent="0.25">
      <c r="W47" s="78"/>
    </row>
    <row r="48" spans="23:23" x14ac:dyDescent="0.25">
      <c r="W48" s="81"/>
    </row>
    <row r="49" spans="23:23" ht="15.75" customHeight="1" thickBot="1" x14ac:dyDescent="0.3">
      <c r="W49" s="82"/>
    </row>
  </sheetData>
  <sortState xmlns:xlrd2="http://schemas.microsoft.com/office/spreadsheetml/2017/richdata2" ref="AB2:AB49">
    <sortCondition ref="AB1:AB4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1" width="9.140625" style="68" customWidth="1"/>
    <col min="92" max="16384" width="9.140625" style="68"/>
  </cols>
  <sheetData>
    <row r="1" spans="1:87" ht="15.75" customHeight="1" thickBot="1" x14ac:dyDescent="0.3">
      <c r="A1" s="107" t="s">
        <v>126</v>
      </c>
      <c r="B1" s="107" t="s">
        <v>127</v>
      </c>
      <c r="C1" s="108" t="s">
        <v>128</v>
      </c>
      <c r="D1" s="107" t="s">
        <v>129</v>
      </c>
      <c r="E1" s="108" t="s">
        <v>130</v>
      </c>
      <c r="F1" s="108" t="s">
        <v>131</v>
      </c>
      <c r="G1" s="107" t="s">
        <v>132</v>
      </c>
      <c r="H1" s="112" t="s">
        <v>133</v>
      </c>
      <c r="I1" s="107" t="s">
        <v>134</v>
      </c>
      <c r="J1" s="112" t="s">
        <v>135</v>
      </c>
      <c r="K1" s="107" t="s">
        <v>136</v>
      </c>
      <c r="L1" s="112" t="s">
        <v>137</v>
      </c>
      <c r="M1" s="107" t="s">
        <v>138</v>
      </c>
      <c r="N1" s="112" t="s">
        <v>139</v>
      </c>
      <c r="O1" s="107" t="s">
        <v>140</v>
      </c>
      <c r="P1" s="112" t="s">
        <v>141</v>
      </c>
      <c r="Q1" s="107" t="s">
        <v>142</v>
      </c>
      <c r="R1" s="112" t="s">
        <v>143</v>
      </c>
      <c r="S1" s="107" t="s">
        <v>144</v>
      </c>
      <c r="T1" s="112" t="s">
        <v>145</v>
      </c>
      <c r="U1" s="107" t="s">
        <v>146</v>
      </c>
      <c r="V1" s="112" t="s">
        <v>147</v>
      </c>
      <c r="W1" s="107" t="s">
        <v>148</v>
      </c>
      <c r="X1" s="112" t="s">
        <v>149</v>
      </c>
      <c r="Y1" s="107" t="s">
        <v>150</v>
      </c>
      <c r="Z1" s="112" t="s">
        <v>151</v>
      </c>
      <c r="AA1" s="107" t="s">
        <v>152</v>
      </c>
      <c r="AB1" s="112" t="s">
        <v>153</v>
      </c>
      <c r="AC1" s="107" t="s">
        <v>230</v>
      </c>
      <c r="AD1" s="112" t="s">
        <v>229</v>
      </c>
      <c r="AE1" s="107" t="s">
        <v>231</v>
      </c>
      <c r="AF1" s="112" t="s">
        <v>232</v>
      </c>
      <c r="AG1" s="107" t="s">
        <v>154</v>
      </c>
      <c r="AH1" s="112" t="s">
        <v>155</v>
      </c>
      <c r="AI1" s="107" t="s">
        <v>156</v>
      </c>
      <c r="AJ1" s="112" t="s">
        <v>157</v>
      </c>
      <c r="AK1" s="107" t="s">
        <v>158</v>
      </c>
      <c r="AL1" s="112" t="s">
        <v>159</v>
      </c>
      <c r="AM1" s="107" t="s">
        <v>160</v>
      </c>
      <c r="AN1" s="112" t="s">
        <v>161</v>
      </c>
      <c r="AO1" s="107" t="s">
        <v>162</v>
      </c>
      <c r="AP1" s="112" t="s">
        <v>163</v>
      </c>
      <c r="AQ1" s="107" t="s">
        <v>164</v>
      </c>
      <c r="AR1" s="112" t="s">
        <v>165</v>
      </c>
      <c r="AS1" s="107" t="s">
        <v>166</v>
      </c>
      <c r="AT1" s="112" t="s">
        <v>167</v>
      </c>
      <c r="AU1" s="107" t="s">
        <v>168</v>
      </c>
      <c r="AV1" s="112" t="s">
        <v>169</v>
      </c>
      <c r="AW1" s="107" t="s">
        <v>170</v>
      </c>
      <c r="AX1" s="112" t="s">
        <v>171</v>
      </c>
      <c r="AY1" s="109" t="s">
        <v>172</v>
      </c>
      <c r="AZ1" s="109" t="s">
        <v>173</v>
      </c>
      <c r="BA1" s="109" t="s">
        <v>174</v>
      </c>
      <c r="BB1" s="109" t="s">
        <v>175</v>
      </c>
      <c r="BC1" s="109" t="s">
        <v>176</v>
      </c>
      <c r="BD1" s="109" t="s">
        <v>177</v>
      </c>
      <c r="BE1" s="109" t="s">
        <v>178</v>
      </c>
      <c r="BF1" s="109" t="s">
        <v>179</v>
      </c>
      <c r="BG1" s="109" t="s">
        <v>180</v>
      </c>
      <c r="BH1" s="109" t="s">
        <v>181</v>
      </c>
      <c r="BI1" s="109" t="s">
        <v>182</v>
      </c>
      <c r="BJ1" s="109" t="s">
        <v>183</v>
      </c>
      <c r="BK1" s="109" t="s">
        <v>184</v>
      </c>
      <c r="BL1" s="109" t="s">
        <v>185</v>
      </c>
      <c r="BM1" s="109" t="s">
        <v>186</v>
      </c>
      <c r="BN1" s="109" t="s">
        <v>187</v>
      </c>
      <c r="BO1" s="109" t="s">
        <v>188</v>
      </c>
      <c r="BP1" s="109" t="s">
        <v>189</v>
      </c>
      <c r="BQ1" s="109" t="s">
        <v>190</v>
      </c>
      <c r="BR1" s="109" t="s">
        <v>191</v>
      </c>
      <c r="BS1" s="109" t="s">
        <v>192</v>
      </c>
      <c r="BT1" s="109" t="s">
        <v>193</v>
      </c>
      <c r="BU1" s="109" t="s">
        <v>194</v>
      </c>
      <c r="BV1" s="109" t="s">
        <v>195</v>
      </c>
      <c r="BW1" s="109" t="s">
        <v>196</v>
      </c>
      <c r="BX1" s="109" t="s">
        <v>197</v>
      </c>
      <c r="BY1" s="109" t="s">
        <v>198</v>
      </c>
      <c r="BZ1" s="109" t="s">
        <v>199</v>
      </c>
      <c r="CA1" s="109" t="s">
        <v>200</v>
      </c>
      <c r="CB1" s="109" t="s">
        <v>201</v>
      </c>
      <c r="CC1" s="109" t="s">
        <v>202</v>
      </c>
      <c r="CD1" s="109" t="s">
        <v>203</v>
      </c>
      <c r="CE1" s="109" t="s">
        <v>204</v>
      </c>
      <c r="CF1" s="109" t="s">
        <v>205</v>
      </c>
      <c r="CG1" s="109" t="s">
        <v>206</v>
      </c>
      <c r="CH1" s="109" t="s">
        <v>207</v>
      </c>
      <c r="CI1" s="109" t="s">
        <v>208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>SUM(G2:AB2)</f>
        <v>9</v>
      </c>
      <c r="F2" s="68">
        <f>ROUND(AVERAGE(G2:BF2),1)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209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217</v>
      </c>
      <c r="B3" s="79">
        <v>0</v>
      </c>
      <c r="C3" s="68">
        <v>0</v>
      </c>
      <c r="D3" s="79">
        <v>0</v>
      </c>
      <c r="E3" s="68">
        <f>SUM(G3:AB3)</f>
        <v>0</v>
      </c>
      <c r="F3" s="68" t="e">
        <f>ROUND(AVERAGE(G3:BF3),1)</f>
        <v>#DIV/0!</v>
      </c>
    </row>
    <row r="4" spans="1:87" x14ac:dyDescent="0.25">
      <c r="A4" s="79" t="s">
        <v>80</v>
      </c>
      <c r="B4" s="79">
        <v>0</v>
      </c>
      <c r="C4" s="68">
        <v>0</v>
      </c>
      <c r="D4" s="79">
        <v>2</v>
      </c>
      <c r="E4" s="68">
        <f>SUM(G4:AB4)</f>
        <v>5</v>
      </c>
      <c r="F4" s="68">
        <f>ROUND(AVERAGE(G4:BF4),1)</f>
        <v>1.3</v>
      </c>
      <c r="I4" s="79">
        <v>2</v>
      </c>
      <c r="J4" s="80">
        <v>1</v>
      </c>
      <c r="W4" s="79">
        <v>1</v>
      </c>
      <c r="X4" s="80">
        <v>1</v>
      </c>
    </row>
    <row r="5" spans="1:87" x14ac:dyDescent="0.25">
      <c r="A5" s="79" t="s">
        <v>95</v>
      </c>
      <c r="B5" s="79">
        <v>0</v>
      </c>
      <c r="C5" s="68">
        <v>0</v>
      </c>
      <c r="D5" s="79">
        <v>0</v>
      </c>
      <c r="E5" s="68">
        <f>SUM(G5:AB5)</f>
        <v>0</v>
      </c>
      <c r="F5" s="68" t="e">
        <f>ROUND(AVERAGE(G5:BF5),1)</f>
        <v>#DIV/0!</v>
      </c>
    </row>
    <row r="6" spans="1:87" x14ac:dyDescent="0.25">
      <c r="A6" s="79" t="s">
        <v>224</v>
      </c>
      <c r="B6" s="79">
        <v>0</v>
      </c>
      <c r="C6" s="68">
        <v>0</v>
      </c>
      <c r="D6" s="79">
        <v>0</v>
      </c>
      <c r="E6" s="68">
        <f>SUM(G6:AB6)</f>
        <v>0</v>
      </c>
      <c r="F6" s="68" t="e">
        <f>ROUND(AVERAGE(G6:BF6),1)</f>
        <v>#DIV/0!</v>
      </c>
    </row>
    <row r="7" spans="1:87" x14ac:dyDescent="0.25">
      <c r="A7" s="79" t="s">
        <v>219</v>
      </c>
      <c r="B7" s="79">
        <v>0</v>
      </c>
      <c r="C7" s="68">
        <v>0</v>
      </c>
      <c r="D7" s="79">
        <v>0</v>
      </c>
      <c r="E7" s="68">
        <f>SUM(G7:AB7)</f>
        <v>0</v>
      </c>
      <c r="F7" s="68" t="e">
        <f>ROUND(AVERAGE(G7:BF7),1)</f>
        <v>#DIV/0!</v>
      </c>
    </row>
    <row r="8" spans="1:87" x14ac:dyDescent="0.25">
      <c r="A8" s="79" t="s">
        <v>215</v>
      </c>
      <c r="B8" s="79">
        <v>0</v>
      </c>
      <c r="C8" s="68">
        <v>0</v>
      </c>
      <c r="D8" s="79">
        <v>3</v>
      </c>
      <c r="E8" s="68">
        <f>SUM(G8:AB8)</f>
        <v>11</v>
      </c>
      <c r="F8" s="68">
        <f>ROUND(AVERAGE(G8:BF8),1)</f>
        <v>1.8</v>
      </c>
      <c r="U8" s="79">
        <v>1</v>
      </c>
      <c r="V8" s="80">
        <v>1</v>
      </c>
      <c r="Y8" s="79">
        <v>3</v>
      </c>
      <c r="Z8" s="80">
        <v>2</v>
      </c>
      <c r="AA8" s="79">
        <v>3</v>
      </c>
      <c r="AB8" s="80">
        <v>1</v>
      </c>
    </row>
    <row r="9" spans="1:87" x14ac:dyDescent="0.25">
      <c r="A9" s="79" t="s">
        <v>227</v>
      </c>
      <c r="B9" s="79">
        <v>0</v>
      </c>
      <c r="C9" s="68">
        <v>0</v>
      </c>
      <c r="D9" s="79">
        <v>0</v>
      </c>
      <c r="E9" s="68">
        <f>SUM(G9:AB9)</f>
        <v>0</v>
      </c>
      <c r="F9" s="68" t="e">
        <f>ROUND(AVERAGE(G9:BF9),1)</f>
        <v>#DIV/0!</v>
      </c>
    </row>
    <row r="10" spans="1:87" x14ac:dyDescent="0.25">
      <c r="A10" s="79" t="s">
        <v>211</v>
      </c>
      <c r="B10" s="79">
        <v>6</v>
      </c>
      <c r="C10" s="68">
        <v>3</v>
      </c>
      <c r="D10" s="79">
        <v>10</v>
      </c>
      <c r="E10" s="68">
        <f>SUM(G10:AB10)</f>
        <v>18</v>
      </c>
      <c r="F10" s="68">
        <f>ROUND(AVERAGE(G10:BF10),1)</f>
        <v>1.3</v>
      </c>
      <c r="G10" s="79">
        <v>2</v>
      </c>
      <c r="H10" s="80">
        <v>1</v>
      </c>
      <c r="I10" s="79">
        <v>0</v>
      </c>
      <c r="J10" s="80">
        <v>0</v>
      </c>
      <c r="K10" s="79">
        <v>2</v>
      </c>
      <c r="L10" s="80">
        <v>1</v>
      </c>
      <c r="M10" s="79">
        <v>1</v>
      </c>
      <c r="N10" s="80">
        <v>0</v>
      </c>
      <c r="O10" s="79">
        <v>1</v>
      </c>
      <c r="P10" s="80">
        <v>0</v>
      </c>
      <c r="Q10" s="79" t="s">
        <v>209</v>
      </c>
      <c r="R10" s="80" t="s">
        <v>209</v>
      </c>
      <c r="W10" s="79" t="s">
        <v>209</v>
      </c>
      <c r="X10" s="80" t="s">
        <v>209</v>
      </c>
      <c r="Y10" s="79">
        <v>3</v>
      </c>
      <c r="Z10" s="80">
        <v>3</v>
      </c>
      <c r="AA10" s="79">
        <v>2</v>
      </c>
      <c r="AB10" s="80">
        <v>2</v>
      </c>
      <c r="AC10" s="79" t="s">
        <v>209</v>
      </c>
      <c r="AD10" s="80" t="s">
        <v>209</v>
      </c>
    </row>
    <row r="11" spans="1:87" x14ac:dyDescent="0.25">
      <c r="A11" s="79" t="s">
        <v>212</v>
      </c>
      <c r="B11" s="79">
        <v>0</v>
      </c>
      <c r="C11" s="68">
        <v>0</v>
      </c>
      <c r="D11" s="79">
        <v>4</v>
      </c>
      <c r="E11" s="68">
        <f>SUM(G11:AB11)</f>
        <v>18</v>
      </c>
      <c r="F11" s="68">
        <f>ROUND(AVERAGE(G11:BF11),1)</f>
        <v>2.8</v>
      </c>
      <c r="K11" s="79">
        <v>3</v>
      </c>
      <c r="L11" s="80">
        <v>3</v>
      </c>
      <c r="M11" s="79">
        <v>3</v>
      </c>
      <c r="N11" s="80">
        <v>3</v>
      </c>
      <c r="Q11" s="79">
        <v>3</v>
      </c>
      <c r="R11" s="80">
        <v>3</v>
      </c>
      <c r="AC11" s="79">
        <v>2</v>
      </c>
      <c r="AD11" s="80">
        <v>2</v>
      </c>
    </row>
    <row r="12" spans="1:87" x14ac:dyDescent="0.25">
      <c r="A12" s="79" t="s">
        <v>96</v>
      </c>
      <c r="B12" s="79">
        <v>0</v>
      </c>
      <c r="C12" s="68">
        <v>0</v>
      </c>
      <c r="D12" s="79">
        <v>0</v>
      </c>
      <c r="E12" s="68">
        <f>SUM(G12:AB12)</f>
        <v>0</v>
      </c>
      <c r="F12" s="68" t="e">
        <f>ROUND(AVERAGE(G12:BF12),1)</f>
        <v>#DIV/0!</v>
      </c>
    </row>
    <row r="13" spans="1:87" x14ac:dyDescent="0.25">
      <c r="A13" s="79" t="s">
        <v>6</v>
      </c>
      <c r="B13" s="79">
        <v>0</v>
      </c>
      <c r="C13" s="68">
        <v>0</v>
      </c>
      <c r="D13" s="79">
        <v>11</v>
      </c>
      <c r="E13" s="68">
        <f>SUM(G13:AB13)</f>
        <v>48</v>
      </c>
      <c r="F13" s="68">
        <f>ROUND(AVERAGE(G13:BF13),1)</f>
        <v>2.4</v>
      </c>
      <c r="G13" s="79">
        <v>3</v>
      </c>
      <c r="H13" s="80">
        <v>3</v>
      </c>
      <c r="I13" s="79">
        <v>3</v>
      </c>
      <c r="J13" s="80">
        <v>2</v>
      </c>
      <c r="K13" s="79">
        <v>2</v>
      </c>
      <c r="L13" s="80">
        <v>3</v>
      </c>
      <c r="O13" s="79">
        <v>3</v>
      </c>
      <c r="P13" s="80">
        <v>2</v>
      </c>
      <c r="Q13" s="79">
        <v>3</v>
      </c>
      <c r="R13" s="80">
        <v>2</v>
      </c>
      <c r="S13" s="79">
        <v>2</v>
      </c>
      <c r="T13" s="80">
        <v>2</v>
      </c>
      <c r="U13" s="79">
        <v>3</v>
      </c>
      <c r="V13" s="80">
        <v>3</v>
      </c>
      <c r="W13" s="79">
        <v>3</v>
      </c>
      <c r="X13" s="80">
        <v>3</v>
      </c>
      <c r="Y13" s="79">
        <v>1</v>
      </c>
      <c r="Z13" s="80">
        <v>1</v>
      </c>
      <c r="AA13" s="79">
        <v>2</v>
      </c>
      <c r="AB13" s="80">
        <v>2</v>
      </c>
      <c r="AC13" s="79">
        <v>2</v>
      </c>
      <c r="AD13" s="80">
        <v>3</v>
      </c>
    </row>
    <row r="14" spans="1:87" x14ac:dyDescent="0.25">
      <c r="A14" s="79" t="s">
        <v>228</v>
      </c>
      <c r="B14" s="79">
        <v>0</v>
      </c>
      <c r="C14" s="68">
        <v>0</v>
      </c>
      <c r="D14" s="79">
        <v>0</v>
      </c>
      <c r="E14" s="68">
        <f>SUM(G14:AB14)</f>
        <v>0</v>
      </c>
      <c r="F14" s="68" t="e">
        <f>ROUND(AVERAGE(G14:BF14),1)</f>
        <v>#DIV/0!</v>
      </c>
    </row>
    <row r="15" spans="1:87" x14ac:dyDescent="0.25">
      <c r="A15" s="79" t="s">
        <v>213</v>
      </c>
      <c r="B15" s="79">
        <v>0</v>
      </c>
      <c r="C15" s="68">
        <v>0</v>
      </c>
      <c r="D15" s="79">
        <v>0</v>
      </c>
      <c r="E15" s="68">
        <f>SUM(G15:AB15)</f>
        <v>0</v>
      </c>
      <c r="F15" s="68" t="e">
        <f>ROUND(AVERAGE(G15:BF15),1)</f>
        <v>#DIV/0!</v>
      </c>
    </row>
    <row r="16" spans="1:87" x14ac:dyDescent="0.25">
      <c r="A16" s="79" t="s">
        <v>71</v>
      </c>
      <c r="B16" s="79">
        <v>3</v>
      </c>
      <c r="C16" s="68">
        <v>1</v>
      </c>
      <c r="D16" s="79">
        <v>3</v>
      </c>
      <c r="E16" s="68">
        <f>SUM(G16:AB16)</f>
        <v>4</v>
      </c>
      <c r="F16" s="68">
        <f>ROUND(AVERAGE(G16:BF16),1)</f>
        <v>1.3</v>
      </c>
      <c r="I16" s="79">
        <v>2</v>
      </c>
      <c r="J16" s="80" t="s">
        <v>209</v>
      </c>
      <c r="O16" s="79" t="s">
        <v>209</v>
      </c>
      <c r="P16" s="80" t="s">
        <v>209</v>
      </c>
      <c r="S16" s="79">
        <v>1</v>
      </c>
      <c r="T16" s="80">
        <v>1</v>
      </c>
    </row>
    <row r="17" spans="1:87" x14ac:dyDescent="0.25">
      <c r="A17" s="79" t="s">
        <v>225</v>
      </c>
      <c r="B17" s="79">
        <v>0</v>
      </c>
      <c r="C17" s="68">
        <v>0</v>
      </c>
      <c r="D17" s="79">
        <v>0</v>
      </c>
      <c r="E17" s="68">
        <f>SUM(G17:AB17)</f>
        <v>0</v>
      </c>
      <c r="F17" s="68" t="e">
        <f>ROUND(AVERAGE(G17:BF17),1)</f>
        <v>#DIV/0!</v>
      </c>
    </row>
    <row r="18" spans="1:87" x14ac:dyDescent="0.25">
      <c r="A18" s="79" t="s">
        <v>70</v>
      </c>
      <c r="B18" s="79">
        <v>1</v>
      </c>
      <c r="C18" s="68">
        <v>0</v>
      </c>
      <c r="D18" s="79">
        <v>5</v>
      </c>
      <c r="E18" s="68">
        <f>SUM(G18:AB18)</f>
        <v>16</v>
      </c>
      <c r="F18" s="68">
        <f>ROUND(AVERAGE(G18:BF18),1)</f>
        <v>2.1</v>
      </c>
      <c r="Q18" s="79">
        <v>3</v>
      </c>
      <c r="R18" s="80">
        <v>2</v>
      </c>
      <c r="U18" s="79">
        <v>3</v>
      </c>
      <c r="V18" s="80">
        <v>1</v>
      </c>
      <c r="Y18" s="79">
        <v>2</v>
      </c>
      <c r="Z18" s="80">
        <v>2</v>
      </c>
      <c r="AA18" s="79">
        <v>3</v>
      </c>
      <c r="AB18" s="80" t="s">
        <v>209</v>
      </c>
      <c r="AE18" s="79">
        <v>2</v>
      </c>
      <c r="AF18" s="80">
        <v>1</v>
      </c>
    </row>
    <row r="19" spans="1:87" x14ac:dyDescent="0.25">
      <c r="A19" s="79" t="s">
        <v>221</v>
      </c>
      <c r="B19" s="79">
        <v>1</v>
      </c>
      <c r="C19" s="68">
        <v>0</v>
      </c>
      <c r="D19" s="79">
        <v>1</v>
      </c>
      <c r="E19" s="68">
        <f>SUM(G19:AB19)</f>
        <v>1</v>
      </c>
      <c r="F19" s="68">
        <f>ROUND(AVERAGE(G19:BF19),1)</f>
        <v>1</v>
      </c>
      <c r="Y19" s="79">
        <v>1</v>
      </c>
      <c r="Z19" s="80" t="s">
        <v>209</v>
      </c>
    </row>
    <row r="20" spans="1:87" x14ac:dyDescent="0.25">
      <c r="A20" s="79" t="s">
        <v>223</v>
      </c>
      <c r="B20" s="79">
        <v>0</v>
      </c>
      <c r="C20" s="119">
        <v>0</v>
      </c>
      <c r="D20" s="79">
        <v>4</v>
      </c>
      <c r="E20" s="119">
        <f>SUM(G20:AB20)</f>
        <v>7</v>
      </c>
      <c r="F20" s="68">
        <f>ROUND(AVERAGE(G20:BF20),1)</f>
        <v>1.4</v>
      </c>
      <c r="Y20" s="79">
        <v>2</v>
      </c>
      <c r="Z20" s="80">
        <v>3</v>
      </c>
      <c r="AA20" s="79">
        <v>1</v>
      </c>
      <c r="AB20" s="80">
        <v>1</v>
      </c>
      <c r="AC20" s="79">
        <v>1</v>
      </c>
      <c r="AD20" s="80">
        <v>1</v>
      </c>
      <c r="AE20" s="79">
        <v>1</v>
      </c>
      <c r="AF20" s="80">
        <v>1</v>
      </c>
      <c r="AY20" s="119"/>
      <c r="AZ20" s="119"/>
      <c r="BA20" s="119"/>
      <c r="BB20" s="119"/>
      <c r="BC20" s="119"/>
      <c r="BD20" s="119"/>
      <c r="BE20" s="119"/>
      <c r="BF20" s="119"/>
      <c r="BG20" s="119"/>
      <c r="BH20" s="119"/>
      <c r="BI20" s="119"/>
      <c r="BJ20" s="119"/>
      <c r="BK20" s="119"/>
      <c r="BL20" s="119"/>
      <c r="BM20" s="119"/>
      <c r="BN20" s="119"/>
      <c r="BO20" s="119"/>
      <c r="BP20" s="119"/>
      <c r="BQ20" s="119"/>
      <c r="BR20" s="119"/>
      <c r="BS20" s="119"/>
      <c r="BT20" s="119"/>
      <c r="BU20" s="119"/>
      <c r="BV20" s="119"/>
      <c r="BW20" s="119"/>
      <c r="BX20" s="119"/>
      <c r="BY20" s="119"/>
      <c r="BZ20" s="119"/>
      <c r="CA20" s="119"/>
      <c r="CB20" s="119"/>
      <c r="CC20" s="119"/>
      <c r="CD20" s="119"/>
      <c r="CE20" s="119"/>
      <c r="CF20" s="119"/>
      <c r="CG20" s="119"/>
      <c r="CH20" s="119"/>
      <c r="CI20" s="119"/>
    </row>
    <row r="21" spans="1:87" x14ac:dyDescent="0.25">
      <c r="A21" s="79" t="s">
        <v>69</v>
      </c>
      <c r="B21" s="79">
        <v>0</v>
      </c>
      <c r="C21" s="68">
        <v>0</v>
      </c>
      <c r="D21" s="79">
        <v>8</v>
      </c>
      <c r="E21" s="68">
        <f>SUM(G21:AB21)</f>
        <v>32</v>
      </c>
      <c r="F21" s="68">
        <f>ROUND(AVERAGE(G21:BF21),1)</f>
        <v>2</v>
      </c>
      <c r="G21" s="79">
        <v>1</v>
      </c>
      <c r="H21" s="80">
        <v>2</v>
      </c>
      <c r="I21" s="79">
        <v>1</v>
      </c>
      <c r="J21" s="80">
        <v>3</v>
      </c>
      <c r="M21" s="79">
        <v>0</v>
      </c>
      <c r="N21" s="80">
        <v>3</v>
      </c>
      <c r="O21" s="79">
        <v>3</v>
      </c>
      <c r="P21" s="80">
        <v>3</v>
      </c>
      <c r="U21" s="79">
        <v>3</v>
      </c>
      <c r="V21" s="80">
        <v>3</v>
      </c>
      <c r="W21" s="79">
        <v>1</v>
      </c>
      <c r="X21" s="80">
        <v>2</v>
      </c>
      <c r="Y21" s="79">
        <v>3</v>
      </c>
      <c r="Z21" s="80">
        <v>0</v>
      </c>
      <c r="AA21" s="79">
        <v>2</v>
      </c>
      <c r="AB21" s="80">
        <v>2</v>
      </c>
    </row>
    <row r="22" spans="1:87" x14ac:dyDescent="0.25">
      <c r="A22" s="79" t="s">
        <v>105</v>
      </c>
      <c r="B22" s="79">
        <v>0</v>
      </c>
      <c r="C22" s="68">
        <v>0</v>
      </c>
      <c r="D22" s="79">
        <v>0</v>
      </c>
      <c r="E22" s="68">
        <f>SUM(G22:AB22)</f>
        <v>0</v>
      </c>
      <c r="F22" s="68" t="e">
        <f>ROUND(AVERAGE(G22:BF22),1)</f>
        <v>#DIV/0!</v>
      </c>
    </row>
    <row r="23" spans="1:87" x14ac:dyDescent="0.25">
      <c r="A23" s="79" t="s">
        <v>61</v>
      </c>
      <c r="B23" s="79">
        <v>1</v>
      </c>
      <c r="C23" s="68">
        <v>0</v>
      </c>
      <c r="D23" s="79">
        <v>8</v>
      </c>
      <c r="E23" s="68">
        <f>SUM(G23:AB23)</f>
        <v>30</v>
      </c>
      <c r="F23" s="68">
        <f>ROUND(AVERAGE(G23:BF23),1)</f>
        <v>2.5</v>
      </c>
      <c r="I23" s="79">
        <v>3</v>
      </c>
      <c r="J23" s="80">
        <v>1</v>
      </c>
      <c r="K23" s="79">
        <v>3</v>
      </c>
      <c r="L23" s="80">
        <v>3</v>
      </c>
      <c r="O23" s="79">
        <v>3</v>
      </c>
      <c r="P23" s="80">
        <v>1</v>
      </c>
      <c r="Q23" s="79">
        <v>3</v>
      </c>
      <c r="R23" s="80">
        <v>3</v>
      </c>
      <c r="U23" s="79">
        <v>3</v>
      </c>
      <c r="V23" s="80">
        <v>1</v>
      </c>
      <c r="AA23" s="79">
        <v>3</v>
      </c>
      <c r="AB23" s="80">
        <v>3</v>
      </c>
      <c r="AC23" s="79">
        <v>2</v>
      </c>
      <c r="AD23" s="80">
        <v>2</v>
      </c>
      <c r="AE23" s="79">
        <v>3</v>
      </c>
      <c r="AF23" s="80" t="s">
        <v>209</v>
      </c>
    </row>
    <row r="24" spans="1:87" x14ac:dyDescent="0.25">
      <c r="A24" s="79" t="s">
        <v>20</v>
      </c>
      <c r="B24" s="79">
        <v>0</v>
      </c>
      <c r="C24" s="68">
        <v>0</v>
      </c>
      <c r="D24" s="79">
        <v>4</v>
      </c>
      <c r="E24" s="68">
        <f>SUM(G24:AB24)</f>
        <v>19</v>
      </c>
      <c r="F24" s="68">
        <f>ROUND(AVERAGE(G24:BF24),1)</f>
        <v>2.4</v>
      </c>
      <c r="G24" s="79">
        <v>3</v>
      </c>
      <c r="H24" s="80">
        <v>3</v>
      </c>
      <c r="K24" s="79">
        <v>2</v>
      </c>
      <c r="L24" s="80">
        <v>2</v>
      </c>
      <c r="O24" s="79">
        <v>1</v>
      </c>
      <c r="P24" s="80">
        <v>3</v>
      </c>
      <c r="Q24" s="79">
        <v>2</v>
      </c>
      <c r="R24" s="80">
        <v>3</v>
      </c>
    </row>
    <row r="25" spans="1:87" x14ac:dyDescent="0.25">
      <c r="A25" s="79" t="s">
        <v>220</v>
      </c>
      <c r="B25" s="79">
        <v>0</v>
      </c>
      <c r="C25" s="68">
        <v>0</v>
      </c>
      <c r="D25" s="79">
        <v>1</v>
      </c>
      <c r="E25" s="68">
        <f>SUM(G25:AB25)</f>
        <v>0</v>
      </c>
      <c r="F25" s="68">
        <f>ROUND(AVERAGE(G25:BF25),1)</f>
        <v>3</v>
      </c>
      <c r="AE25" s="79">
        <v>3</v>
      </c>
      <c r="AF25" s="80">
        <v>3</v>
      </c>
    </row>
    <row r="26" spans="1:87" x14ac:dyDescent="0.25">
      <c r="A26" s="79" t="s">
        <v>16</v>
      </c>
      <c r="B26" s="79">
        <v>0</v>
      </c>
      <c r="C26" s="68">
        <v>0</v>
      </c>
      <c r="D26" s="79">
        <v>5</v>
      </c>
      <c r="E26" s="68">
        <f>SUM(G26:AB26)</f>
        <v>21</v>
      </c>
      <c r="F26" s="68">
        <f>ROUND(AVERAGE(G26:BF26),1)</f>
        <v>2.7</v>
      </c>
      <c r="S26" s="79">
        <v>2</v>
      </c>
      <c r="T26" s="80">
        <v>3</v>
      </c>
      <c r="W26" s="79">
        <v>2</v>
      </c>
      <c r="X26" s="80">
        <v>2</v>
      </c>
      <c r="Y26" s="79">
        <v>3</v>
      </c>
      <c r="Z26" s="80">
        <v>3</v>
      </c>
      <c r="AA26" s="79">
        <v>3</v>
      </c>
      <c r="AB26" s="80">
        <v>3</v>
      </c>
      <c r="AC26" s="79">
        <v>3</v>
      </c>
      <c r="AD26" s="80">
        <v>3</v>
      </c>
    </row>
    <row r="27" spans="1:87" x14ac:dyDescent="0.25">
      <c r="A27" s="79" t="s">
        <v>68</v>
      </c>
      <c r="B27" s="79">
        <v>0</v>
      </c>
      <c r="C27" s="68">
        <v>0</v>
      </c>
      <c r="D27" s="79">
        <v>3</v>
      </c>
      <c r="E27" s="68">
        <f>SUM(G27:AB27)</f>
        <v>15</v>
      </c>
      <c r="F27" s="68">
        <f>ROUND(AVERAGE(G27:BF27),1)</f>
        <v>2.5</v>
      </c>
      <c r="G27" s="79">
        <v>1</v>
      </c>
      <c r="H27" s="80">
        <v>2</v>
      </c>
      <c r="I27" s="79">
        <v>3</v>
      </c>
      <c r="J27" s="80">
        <v>3</v>
      </c>
      <c r="Y27" s="79">
        <v>3</v>
      </c>
      <c r="Z27" s="80">
        <v>3</v>
      </c>
    </row>
    <row r="28" spans="1:87" x14ac:dyDescent="0.25">
      <c r="A28" s="79" t="s">
        <v>13</v>
      </c>
      <c r="B28" s="79">
        <v>0</v>
      </c>
      <c r="C28" s="68">
        <v>0</v>
      </c>
      <c r="D28" s="79">
        <v>1</v>
      </c>
      <c r="E28" s="68">
        <f>SUM(G28:AB28)</f>
        <v>0</v>
      </c>
      <c r="F28" s="68">
        <f>ROUND(AVERAGE(G28:BF28),1)</f>
        <v>2</v>
      </c>
      <c r="AE28" s="79">
        <v>3</v>
      </c>
      <c r="AF28" s="80">
        <v>1</v>
      </c>
    </row>
    <row r="29" spans="1:87" x14ac:dyDescent="0.25">
      <c r="A29" s="79" t="s">
        <v>64</v>
      </c>
      <c r="B29" s="79">
        <v>2</v>
      </c>
      <c r="C29" s="68">
        <v>0</v>
      </c>
      <c r="D29" s="79">
        <v>7</v>
      </c>
      <c r="E29" s="68">
        <f>SUM(G29:AB29)</f>
        <v>23</v>
      </c>
      <c r="F29" s="68">
        <f>ROUND(AVERAGE(G29:BF29),1)</f>
        <v>2.2999999999999998</v>
      </c>
      <c r="I29" s="79">
        <v>2</v>
      </c>
      <c r="J29" s="80" t="s">
        <v>209</v>
      </c>
      <c r="M29" s="79">
        <v>3</v>
      </c>
      <c r="N29" s="80">
        <v>1</v>
      </c>
      <c r="O29" s="79">
        <v>3</v>
      </c>
      <c r="P29" s="80">
        <v>3</v>
      </c>
      <c r="Q29" s="79">
        <v>2</v>
      </c>
      <c r="R29" s="80" t="s">
        <v>209</v>
      </c>
      <c r="W29" s="79">
        <v>2</v>
      </c>
      <c r="X29" s="80">
        <v>2</v>
      </c>
      <c r="AA29" s="79">
        <v>3</v>
      </c>
      <c r="AB29" s="80">
        <v>2</v>
      </c>
      <c r="AC29" s="79">
        <v>2</v>
      </c>
      <c r="AD29" s="80">
        <v>3</v>
      </c>
    </row>
    <row r="30" spans="1:87" x14ac:dyDescent="0.25">
      <c r="A30" s="79" t="s">
        <v>73</v>
      </c>
      <c r="B30" s="79">
        <v>3</v>
      </c>
      <c r="C30" s="68">
        <v>1</v>
      </c>
      <c r="D30" s="79">
        <v>7</v>
      </c>
      <c r="E30" s="68">
        <f>SUM(G30:AB30)</f>
        <v>26</v>
      </c>
      <c r="F30" s="68">
        <f>ROUND(AVERAGE(G30:BF30),1)</f>
        <v>2.9</v>
      </c>
      <c r="G30" s="79" t="s">
        <v>209</v>
      </c>
      <c r="H30" s="80" t="s">
        <v>209</v>
      </c>
      <c r="I30" s="79">
        <v>3</v>
      </c>
      <c r="J30" s="80">
        <v>3</v>
      </c>
      <c r="K30" s="79">
        <v>3</v>
      </c>
      <c r="L30" s="80">
        <v>3</v>
      </c>
      <c r="U30" s="79">
        <v>3</v>
      </c>
      <c r="V30" s="80">
        <v>3</v>
      </c>
      <c r="W30" s="79">
        <v>2</v>
      </c>
      <c r="X30" s="80" t="s">
        <v>209</v>
      </c>
      <c r="Y30" s="79">
        <v>3</v>
      </c>
      <c r="Z30" s="80">
        <v>3</v>
      </c>
      <c r="AC30" s="79">
        <v>3</v>
      </c>
      <c r="AD30" s="80">
        <v>3</v>
      </c>
    </row>
    <row r="31" spans="1:87" x14ac:dyDescent="0.25">
      <c r="A31" s="79" t="s">
        <v>76</v>
      </c>
      <c r="B31" s="79">
        <v>4</v>
      </c>
      <c r="C31" s="68">
        <v>0</v>
      </c>
      <c r="D31" s="79">
        <v>7</v>
      </c>
      <c r="E31" s="68">
        <f>SUM(G31:AB31)</f>
        <v>23</v>
      </c>
      <c r="F31" s="68">
        <f>ROUND(AVERAGE(G31:BF31),1)</f>
        <v>2.6</v>
      </c>
      <c r="G31" s="79">
        <v>3</v>
      </c>
      <c r="H31" s="80">
        <v>1</v>
      </c>
      <c r="I31" s="79">
        <v>3</v>
      </c>
      <c r="J31" s="80">
        <v>3</v>
      </c>
      <c r="O31" s="79">
        <v>3</v>
      </c>
      <c r="P31" s="80" t="s">
        <v>209</v>
      </c>
      <c r="S31" s="79">
        <v>2</v>
      </c>
      <c r="T31" s="80" t="s">
        <v>209</v>
      </c>
      <c r="W31" s="79">
        <v>3</v>
      </c>
      <c r="X31" s="80">
        <v>2</v>
      </c>
      <c r="AA31" s="79">
        <v>3</v>
      </c>
      <c r="AB31" s="80" t="s">
        <v>209</v>
      </c>
      <c r="AE31" s="79">
        <v>3</v>
      </c>
      <c r="AF31" s="80" t="s">
        <v>209</v>
      </c>
    </row>
    <row r="32" spans="1:87" x14ac:dyDescent="0.25">
      <c r="A32" s="79" t="s">
        <v>41</v>
      </c>
      <c r="B32" s="79">
        <v>0</v>
      </c>
      <c r="C32" s="68">
        <v>0</v>
      </c>
      <c r="D32" s="79">
        <v>0</v>
      </c>
      <c r="E32" s="68">
        <f>SUM(G32:AB32)</f>
        <v>0</v>
      </c>
      <c r="F32" s="68" t="e">
        <f>ROUND(AVERAGE(G32:BF32),1)</f>
        <v>#DIV/0!</v>
      </c>
    </row>
    <row r="33" spans="1:32" x14ac:dyDescent="0.25">
      <c r="A33" s="79" t="s">
        <v>65</v>
      </c>
      <c r="B33" s="79">
        <v>0</v>
      </c>
      <c r="C33" s="68">
        <v>0</v>
      </c>
      <c r="D33" s="79">
        <v>3</v>
      </c>
      <c r="E33" s="68">
        <f>SUM(G33:AB33)</f>
        <v>10</v>
      </c>
      <c r="F33" s="68">
        <f>ROUND(AVERAGE(G33:BF33),1)</f>
        <v>2.5</v>
      </c>
      <c r="U33" s="79">
        <v>2</v>
      </c>
      <c r="V33" s="80">
        <v>3</v>
      </c>
      <c r="Y33" s="79">
        <v>2</v>
      </c>
      <c r="Z33" s="80">
        <v>3</v>
      </c>
      <c r="AE33" s="79">
        <v>3</v>
      </c>
      <c r="AF33" s="80">
        <v>2</v>
      </c>
    </row>
    <row r="34" spans="1:32" x14ac:dyDescent="0.25">
      <c r="A34" s="79" t="s">
        <v>10</v>
      </c>
      <c r="B34" s="79">
        <v>0</v>
      </c>
      <c r="C34" s="68">
        <v>0</v>
      </c>
      <c r="D34" s="79">
        <v>9</v>
      </c>
      <c r="E34" s="68">
        <f>SUM(G34:AB34)</f>
        <v>45</v>
      </c>
      <c r="F34" s="68">
        <f>ROUND(AVERAGE(G34:BF34),1)</f>
        <v>2.7</v>
      </c>
      <c r="G34" s="79">
        <v>3</v>
      </c>
      <c r="H34" s="80">
        <v>3</v>
      </c>
      <c r="I34" s="79">
        <v>2</v>
      </c>
      <c r="J34" s="80">
        <v>3</v>
      </c>
      <c r="K34" s="79">
        <v>3</v>
      </c>
      <c r="L34" s="80">
        <v>3</v>
      </c>
      <c r="M34" s="79">
        <v>2</v>
      </c>
      <c r="N34" s="80">
        <v>2</v>
      </c>
      <c r="O34" s="79">
        <v>3</v>
      </c>
      <c r="P34" s="80">
        <v>3</v>
      </c>
      <c r="Q34" s="79">
        <v>3</v>
      </c>
      <c r="R34" s="80">
        <v>3</v>
      </c>
      <c r="S34" s="79">
        <v>3</v>
      </c>
      <c r="T34" s="80">
        <v>3</v>
      </c>
      <c r="U34" s="79">
        <v>3</v>
      </c>
      <c r="V34" s="80">
        <v>3</v>
      </c>
      <c r="AE34" s="79">
        <v>3</v>
      </c>
      <c r="AF34" s="80">
        <v>1</v>
      </c>
    </row>
    <row r="35" spans="1:32" x14ac:dyDescent="0.25">
      <c r="A35" s="79" t="s">
        <v>45</v>
      </c>
      <c r="B35" s="79">
        <v>0</v>
      </c>
      <c r="C35" s="68">
        <v>0</v>
      </c>
      <c r="D35" s="79">
        <v>6</v>
      </c>
      <c r="E35" s="68">
        <f>SUM(G35:AB35)</f>
        <v>36</v>
      </c>
      <c r="F35" s="68">
        <f>ROUND(AVERAGE(G35:BF35),1)</f>
        <v>3</v>
      </c>
      <c r="I35" s="79">
        <v>3</v>
      </c>
      <c r="J35" s="80">
        <v>3</v>
      </c>
      <c r="M35" s="79">
        <v>3</v>
      </c>
      <c r="N35" s="80">
        <v>3</v>
      </c>
      <c r="O35" s="79">
        <v>3</v>
      </c>
      <c r="P35" s="80">
        <v>3</v>
      </c>
      <c r="Q35" s="79">
        <v>3</v>
      </c>
      <c r="R35" s="80">
        <v>3</v>
      </c>
      <c r="W35" s="79">
        <v>3</v>
      </c>
      <c r="X35" s="80">
        <v>3</v>
      </c>
      <c r="Y35" s="79">
        <v>3</v>
      </c>
      <c r="Z35" s="80">
        <v>3</v>
      </c>
      <c r="AE35" s="79">
        <v>3</v>
      </c>
      <c r="AF35" s="80">
        <v>3</v>
      </c>
    </row>
    <row r="36" spans="1:32" x14ac:dyDescent="0.25">
      <c r="A36" s="79" t="s">
        <v>222</v>
      </c>
      <c r="B36" s="79">
        <v>1</v>
      </c>
      <c r="C36" s="68">
        <v>0</v>
      </c>
      <c r="D36" s="79">
        <v>3</v>
      </c>
      <c r="E36" s="68">
        <f>SUM(G36:AB36)</f>
        <v>2</v>
      </c>
      <c r="F36" s="68">
        <f>ROUND(AVERAGE(G36:BF36),1)</f>
        <v>2</v>
      </c>
      <c r="Y36" s="79">
        <v>2</v>
      </c>
      <c r="Z36" s="80" t="s">
        <v>209</v>
      </c>
      <c r="AC36" s="79">
        <v>2</v>
      </c>
      <c r="AD36" s="80">
        <v>2</v>
      </c>
      <c r="AE36" s="79">
        <v>1</v>
      </c>
      <c r="AF36" s="80">
        <v>3</v>
      </c>
    </row>
    <row r="37" spans="1:32" x14ac:dyDescent="0.25">
      <c r="A37" s="79" t="s">
        <v>210</v>
      </c>
      <c r="B37" s="79">
        <v>2</v>
      </c>
      <c r="C37" s="68">
        <v>1</v>
      </c>
      <c r="D37" s="79">
        <v>6</v>
      </c>
      <c r="E37" s="68">
        <f>SUM(G37:AB37)</f>
        <v>18</v>
      </c>
      <c r="F37" s="68">
        <f>ROUND(AVERAGE(G37:BF37),1)</f>
        <v>2.9</v>
      </c>
      <c r="S37" s="79">
        <v>3</v>
      </c>
      <c r="T37" s="80">
        <v>3</v>
      </c>
      <c r="U37" s="79" t="s">
        <v>209</v>
      </c>
      <c r="V37" s="80" t="s">
        <v>209</v>
      </c>
      <c r="W37" s="79">
        <v>3</v>
      </c>
      <c r="X37" s="80">
        <v>3</v>
      </c>
      <c r="Y37" s="79">
        <v>3</v>
      </c>
      <c r="Z37" s="80">
        <v>3</v>
      </c>
      <c r="AC37" s="79">
        <v>3</v>
      </c>
      <c r="AD37" s="80">
        <v>3</v>
      </c>
      <c r="AE37" s="79">
        <v>2</v>
      </c>
      <c r="AF37" s="80">
        <v>3</v>
      </c>
    </row>
    <row r="38" spans="1:32" x14ac:dyDescent="0.25">
      <c r="A38" s="79" t="s">
        <v>79</v>
      </c>
      <c r="B38" s="79">
        <v>2</v>
      </c>
      <c r="C38" s="68">
        <v>1</v>
      </c>
      <c r="D38" s="79">
        <v>9</v>
      </c>
      <c r="E38" s="68">
        <f>SUM(G38:AB38)</f>
        <v>25</v>
      </c>
      <c r="F38" s="68">
        <f>ROUND(AVERAGE(G38:BF38),1)</f>
        <v>2</v>
      </c>
      <c r="I38" s="79" t="s">
        <v>209</v>
      </c>
      <c r="J38" s="80" t="s">
        <v>209</v>
      </c>
      <c r="K38" s="79">
        <v>3</v>
      </c>
      <c r="L38" s="80">
        <v>3</v>
      </c>
      <c r="M38" s="79">
        <v>1</v>
      </c>
      <c r="N38" s="80">
        <v>1</v>
      </c>
      <c r="O38" s="79">
        <v>0</v>
      </c>
      <c r="P38" s="80" t="s">
        <v>209</v>
      </c>
      <c r="Q38" s="79">
        <v>2</v>
      </c>
      <c r="R38" s="80" t="s">
        <v>209</v>
      </c>
      <c r="W38" s="79">
        <v>3</v>
      </c>
      <c r="X38" s="80">
        <v>3</v>
      </c>
      <c r="Y38" s="79">
        <v>3</v>
      </c>
      <c r="Z38" s="80">
        <v>2</v>
      </c>
      <c r="AA38" s="79">
        <v>3</v>
      </c>
      <c r="AB38" s="80">
        <v>1</v>
      </c>
      <c r="AC38" s="79">
        <v>1</v>
      </c>
      <c r="AD38" s="80">
        <v>1</v>
      </c>
      <c r="AE38" s="79">
        <v>3</v>
      </c>
      <c r="AF38" s="80">
        <v>2</v>
      </c>
    </row>
    <row r="39" spans="1:32" x14ac:dyDescent="0.25">
      <c r="A39" s="79" t="s">
        <v>86</v>
      </c>
      <c r="B39" s="79">
        <v>0</v>
      </c>
      <c r="C39" s="68">
        <v>0</v>
      </c>
      <c r="D39" s="79">
        <v>0</v>
      </c>
      <c r="E39" s="68">
        <f>SUM(G39:AB39)</f>
        <v>0</v>
      </c>
      <c r="F39" s="68" t="e">
        <f>ROUND(AVERAGE(G39:BF39),1)</f>
        <v>#DIV/0!</v>
      </c>
    </row>
    <row r="40" spans="1:32" x14ac:dyDescent="0.25">
      <c r="A40" s="79" t="s">
        <v>226</v>
      </c>
      <c r="B40" s="79">
        <v>0</v>
      </c>
      <c r="C40" s="68">
        <v>0</v>
      </c>
      <c r="D40" s="79">
        <v>0</v>
      </c>
      <c r="E40" s="68">
        <f>SUM(G40:AB40)</f>
        <v>0</v>
      </c>
      <c r="F40" s="68" t="e">
        <f>ROUND(AVERAGE(G40:BF40),1)</f>
        <v>#DIV/0!</v>
      </c>
    </row>
    <row r="41" spans="1:32" x14ac:dyDescent="0.25">
      <c r="A41" s="79" t="s">
        <v>22</v>
      </c>
      <c r="B41" s="79">
        <v>0</v>
      </c>
      <c r="C41" s="68">
        <v>0</v>
      </c>
      <c r="D41" s="79">
        <v>13</v>
      </c>
      <c r="E41" s="68">
        <f>SUM(G41:AB41)</f>
        <v>54</v>
      </c>
      <c r="F41" s="68">
        <f>ROUND(AVERAGE(G41:BF41),1)</f>
        <v>2.5</v>
      </c>
      <c r="G41" s="79">
        <v>1</v>
      </c>
      <c r="H41" s="80">
        <v>3</v>
      </c>
      <c r="I41" s="79">
        <v>3</v>
      </c>
      <c r="J41" s="80">
        <v>3</v>
      </c>
      <c r="K41" s="79">
        <v>1</v>
      </c>
      <c r="L41" s="80">
        <v>3</v>
      </c>
      <c r="M41" s="79">
        <v>2</v>
      </c>
      <c r="N41" s="80">
        <v>3</v>
      </c>
      <c r="O41" s="79">
        <v>1</v>
      </c>
      <c r="P41" s="80">
        <v>3</v>
      </c>
      <c r="Q41" s="79">
        <v>3</v>
      </c>
      <c r="R41" s="80">
        <v>3</v>
      </c>
      <c r="S41" s="79">
        <v>3</v>
      </c>
      <c r="T41" s="80">
        <v>3</v>
      </c>
      <c r="U41" s="79">
        <v>3</v>
      </c>
      <c r="V41" s="80">
        <v>3</v>
      </c>
      <c r="W41" s="79">
        <v>3</v>
      </c>
      <c r="X41" s="80">
        <v>3</v>
      </c>
      <c r="Y41" s="79">
        <v>3</v>
      </c>
      <c r="Z41" s="80">
        <v>1</v>
      </c>
      <c r="AA41" s="79">
        <v>1</v>
      </c>
      <c r="AB41" s="80">
        <v>2</v>
      </c>
      <c r="AC41" s="79">
        <v>3</v>
      </c>
      <c r="AD41" s="80">
        <v>2</v>
      </c>
      <c r="AE41" s="79">
        <v>3</v>
      </c>
      <c r="AF41" s="80">
        <v>3</v>
      </c>
    </row>
    <row r="42" spans="1:32" x14ac:dyDescent="0.25">
      <c r="A42" s="79" t="s">
        <v>114</v>
      </c>
      <c r="B42" s="79">
        <v>4</v>
      </c>
      <c r="C42" s="68">
        <v>1</v>
      </c>
      <c r="D42" s="79">
        <v>4</v>
      </c>
      <c r="E42" s="68">
        <f>SUM(G42:AB42)</f>
        <v>8</v>
      </c>
      <c r="F42" s="68">
        <f>ROUND(AVERAGE(G42:BF42),1)</f>
        <v>2</v>
      </c>
      <c r="G42" s="79">
        <v>1</v>
      </c>
      <c r="H42" s="80" t="s">
        <v>209</v>
      </c>
      <c r="I42" s="79">
        <v>1</v>
      </c>
      <c r="J42" s="80" t="s">
        <v>209</v>
      </c>
      <c r="K42" s="79" t="s">
        <v>209</v>
      </c>
      <c r="L42" s="80" t="s">
        <v>209</v>
      </c>
      <c r="O42" s="79">
        <v>3</v>
      </c>
      <c r="P42" s="80">
        <v>3</v>
      </c>
    </row>
    <row r="43" spans="1:32" x14ac:dyDescent="0.25">
      <c r="A43" s="79" t="s">
        <v>77</v>
      </c>
      <c r="B43" s="79">
        <v>0</v>
      </c>
      <c r="C43" s="68">
        <v>0</v>
      </c>
      <c r="D43" s="79">
        <v>4</v>
      </c>
      <c r="E43" s="68">
        <f>SUM(G43:AB43)</f>
        <v>23</v>
      </c>
      <c r="F43" s="68">
        <f>ROUND(AVERAGE(G43:BF43),1)</f>
        <v>2.9</v>
      </c>
      <c r="G43" s="79">
        <v>3</v>
      </c>
      <c r="H43" s="80">
        <v>3</v>
      </c>
      <c r="I43" s="79">
        <v>2</v>
      </c>
      <c r="J43" s="80">
        <v>3</v>
      </c>
      <c r="O43" s="79">
        <v>3</v>
      </c>
      <c r="P43" s="80">
        <v>3</v>
      </c>
      <c r="Q43" s="79">
        <v>3</v>
      </c>
      <c r="R43" s="80">
        <v>3</v>
      </c>
    </row>
    <row r="44" spans="1:32" x14ac:dyDescent="0.25">
      <c r="A44" s="79" t="s">
        <v>214</v>
      </c>
      <c r="B44" s="79">
        <v>0</v>
      </c>
      <c r="C44" s="68">
        <v>0</v>
      </c>
      <c r="D44" s="79">
        <v>8</v>
      </c>
      <c r="E44" s="68">
        <f>SUM(G44:AB44)</f>
        <v>36</v>
      </c>
      <c r="F44" s="68">
        <f>ROUND(AVERAGE(G44:BF44),1)</f>
        <v>2</v>
      </c>
      <c r="G44" s="79">
        <v>2</v>
      </c>
      <c r="H44" s="80">
        <v>3</v>
      </c>
      <c r="I44" s="79">
        <v>1</v>
      </c>
      <c r="J44" s="80">
        <v>1</v>
      </c>
      <c r="K44" s="79">
        <v>3</v>
      </c>
      <c r="L44" s="80">
        <v>2</v>
      </c>
      <c r="M44" s="79">
        <v>1</v>
      </c>
      <c r="N44" s="80">
        <v>2</v>
      </c>
      <c r="O44" s="79">
        <v>1</v>
      </c>
      <c r="P44" s="80">
        <v>1</v>
      </c>
      <c r="Q44" s="79">
        <v>1</v>
      </c>
      <c r="R44" s="80">
        <v>3</v>
      </c>
      <c r="U44" s="79">
        <v>3</v>
      </c>
      <c r="V44" s="80">
        <v>2</v>
      </c>
      <c r="Y44" s="79">
        <v>2</v>
      </c>
      <c r="Z44" s="80">
        <v>2</v>
      </c>
      <c r="AA44" s="79">
        <v>3</v>
      </c>
      <c r="AB44" s="80">
        <v>3</v>
      </c>
    </row>
    <row r="45" spans="1:32" x14ac:dyDescent="0.25">
      <c r="A45" s="79" t="s">
        <v>72</v>
      </c>
      <c r="B45" s="79">
        <v>0</v>
      </c>
      <c r="C45" s="68">
        <v>0</v>
      </c>
      <c r="D45" s="79">
        <v>0</v>
      </c>
      <c r="E45" s="68">
        <f>SUM(G45:AB45)</f>
        <v>0</v>
      </c>
      <c r="F45" s="68" t="e">
        <f>ROUND(AVERAGE(G45:BF45),1)</f>
        <v>#DIV/0!</v>
      </c>
    </row>
    <row r="46" spans="1:32" x14ac:dyDescent="0.25">
      <c r="A46" s="79" t="s">
        <v>218</v>
      </c>
      <c r="B46" s="79">
        <v>0</v>
      </c>
      <c r="C46" s="68">
        <v>0</v>
      </c>
      <c r="D46" s="79">
        <v>0</v>
      </c>
      <c r="E46" s="68">
        <f>SUM(G46:AB46)</f>
        <v>0</v>
      </c>
      <c r="F46" s="68" t="e">
        <f>ROUND(AVERAGE(G46:BF46),1)</f>
        <v>#DIV/0!</v>
      </c>
    </row>
    <row r="47" spans="1:32" x14ac:dyDescent="0.25">
      <c r="A47" s="79" t="s">
        <v>74</v>
      </c>
      <c r="B47" s="79">
        <v>0</v>
      </c>
      <c r="C47" s="68">
        <v>0</v>
      </c>
      <c r="D47" s="79">
        <v>5</v>
      </c>
      <c r="E47" s="68">
        <f>SUM(G47:AB47)</f>
        <v>15</v>
      </c>
      <c r="F47" s="68">
        <f>ROUND(AVERAGE(G47:BF47),1)</f>
        <v>2.6</v>
      </c>
      <c r="O47" s="79">
        <v>3</v>
      </c>
      <c r="P47" s="80">
        <v>2</v>
      </c>
      <c r="Q47" s="79">
        <v>3</v>
      </c>
      <c r="R47" s="80">
        <v>2</v>
      </c>
      <c r="W47" s="79">
        <v>2</v>
      </c>
      <c r="X47" s="80">
        <v>3</v>
      </c>
      <c r="AC47" s="79">
        <v>3</v>
      </c>
      <c r="AD47" s="80">
        <v>2</v>
      </c>
      <c r="AE47" s="79">
        <v>3</v>
      </c>
      <c r="AF47" s="80">
        <v>3</v>
      </c>
    </row>
    <row r="48" spans="1:32" x14ac:dyDescent="0.25">
      <c r="A48" s="79" t="s">
        <v>62</v>
      </c>
      <c r="B48" s="79">
        <v>2</v>
      </c>
      <c r="C48" s="68">
        <v>1</v>
      </c>
      <c r="D48" s="79">
        <v>2</v>
      </c>
      <c r="E48" s="68">
        <f>SUM(G48:AB48)</f>
        <v>5</v>
      </c>
      <c r="F48" s="68">
        <f>ROUND(AVERAGE(G48:BF48),1)</f>
        <v>2.5</v>
      </c>
      <c r="K48" s="79" t="s">
        <v>209</v>
      </c>
      <c r="L48" s="80" t="s">
        <v>209</v>
      </c>
      <c r="Q48" s="79">
        <v>2</v>
      </c>
      <c r="R48" s="80">
        <v>3</v>
      </c>
    </row>
    <row r="49" spans="1:32" x14ac:dyDescent="0.25">
      <c r="A49" s="79" t="s">
        <v>57</v>
      </c>
      <c r="B49" s="79">
        <v>2</v>
      </c>
      <c r="C49" s="68">
        <v>1</v>
      </c>
      <c r="D49" s="79">
        <v>10</v>
      </c>
      <c r="E49" s="68">
        <f>SUM(G49:AB49)</f>
        <v>41</v>
      </c>
      <c r="F49" s="68">
        <f>ROUND(AVERAGE(G49:BF49),1)</f>
        <v>2.6</v>
      </c>
      <c r="G49" s="79">
        <v>2</v>
      </c>
      <c r="H49" s="80">
        <v>3</v>
      </c>
      <c r="I49" s="79">
        <v>2</v>
      </c>
      <c r="J49" s="80">
        <v>3</v>
      </c>
      <c r="K49" s="79" t="s">
        <v>209</v>
      </c>
      <c r="L49" s="80" t="s">
        <v>209</v>
      </c>
      <c r="O49" s="79">
        <v>3</v>
      </c>
      <c r="P49" s="80">
        <v>2</v>
      </c>
      <c r="Q49" s="79">
        <v>3</v>
      </c>
      <c r="R49" s="80">
        <v>3</v>
      </c>
      <c r="S49" s="79">
        <v>2</v>
      </c>
      <c r="T49" s="80">
        <v>2</v>
      </c>
      <c r="W49" s="79">
        <v>3</v>
      </c>
      <c r="X49" s="80">
        <v>3</v>
      </c>
      <c r="Y49" s="79">
        <v>2</v>
      </c>
      <c r="Z49" s="80">
        <v>3</v>
      </c>
      <c r="AA49" s="79">
        <v>3</v>
      </c>
      <c r="AB49" s="80">
        <v>2</v>
      </c>
      <c r="AC49" s="79">
        <v>2</v>
      </c>
      <c r="AD49" s="80">
        <v>3</v>
      </c>
    </row>
    <row r="50" spans="1:32" x14ac:dyDescent="0.25">
      <c r="A50" s="79" t="s">
        <v>43</v>
      </c>
      <c r="B50" s="79">
        <v>2</v>
      </c>
      <c r="C50" s="68">
        <v>1</v>
      </c>
      <c r="D50" s="79">
        <v>2</v>
      </c>
      <c r="E50" s="68">
        <f>SUM(G50:AB50)</f>
        <v>3</v>
      </c>
      <c r="F50" s="68">
        <f>ROUND(AVERAGE(G50:BF50),1)</f>
        <v>3</v>
      </c>
      <c r="G50" s="79" t="s">
        <v>209</v>
      </c>
      <c r="H50" s="80" t="s">
        <v>209</v>
      </c>
      <c r="O50" s="79">
        <v>3</v>
      </c>
      <c r="P50" s="80" t="s">
        <v>209</v>
      </c>
    </row>
    <row r="51" spans="1:32" x14ac:dyDescent="0.25">
      <c r="A51" s="79" t="s">
        <v>216</v>
      </c>
      <c r="B51" s="79">
        <v>1</v>
      </c>
      <c r="C51" s="68">
        <v>0</v>
      </c>
      <c r="D51" s="79">
        <v>6</v>
      </c>
      <c r="E51" s="68">
        <f>SUM(G51:AB51)</f>
        <v>17</v>
      </c>
      <c r="F51" s="68">
        <f>ROUND(AVERAGE(G51:BF51),1)</f>
        <v>2.4</v>
      </c>
      <c r="U51" s="79">
        <v>3</v>
      </c>
      <c r="V51" s="80">
        <v>2</v>
      </c>
      <c r="W51" s="79">
        <v>2</v>
      </c>
      <c r="X51" s="80" t="s">
        <v>209</v>
      </c>
      <c r="Y51" s="79">
        <v>2</v>
      </c>
      <c r="Z51" s="80">
        <v>2</v>
      </c>
      <c r="AA51" s="79">
        <v>3</v>
      </c>
      <c r="AB51" s="80">
        <v>3</v>
      </c>
      <c r="AC51" s="79">
        <v>2</v>
      </c>
      <c r="AD51" s="80">
        <v>2</v>
      </c>
      <c r="AE51" s="79">
        <v>3</v>
      </c>
      <c r="AF51" s="80">
        <v>2</v>
      </c>
    </row>
  </sheetData>
  <autoFilter ref="A1:CL1" xr:uid="{00000000-0009-0000-0000-000005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2026-01-27T15:04:16Z</dcterms:modified>
</cp:coreProperties>
</file>